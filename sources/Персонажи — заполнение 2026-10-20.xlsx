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name="Начни здесь" sheetId="1" state="visible" r:id="rId1"/>
    <sheet name="Инструкция" sheetId="2" state="visible" r:id="rId2"/>
    <sheet name="Скрины и фото" sheetId="3" state="visible" r:id="rId3"/>
    <sheet name="Персонажи" sheetId="4" state="visible" r:id="rId4"/>
    <sheet name="Участие" sheetId="5" state="visible" r:id="rId5"/>
    <sheet name="Фоновые имена" sheetId="6" state="visible" r:id="rId6"/>
    <sheet name="Таймлайн" sheetId="7" state="visible" r:id="rId7"/>
  </sheets>
  <definedNames/>
  <calcPr calcId="181029" fullCalcOnLoad="1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charset val="1"/>
      <b val="1"/>
      <color rgb="FF1F3864"/>
      <sz val="16"/>
    </font>
    <font>
      <name val="Arial"/>
      <charset val="1"/>
      <i val="1"/>
      <color rgb="FF595959"/>
      <sz val="10"/>
    </font>
    <font>
      <name val="Arial"/>
      <charset val="1"/>
      <sz val="11"/>
    </font>
    <font>
      <name val="Arial"/>
      <charset val="1"/>
      <b val="1"/>
      <color rgb="FF1F3864"/>
      <sz val="12"/>
    </font>
    <font>
      <name val="Arial"/>
      <charset val="1"/>
      <b val="1"/>
      <color rgb="FFFFFFFF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0"/>
    </font>
    <font>
      <name val="Arial"/>
      <charset val="1"/>
      <b val="1"/>
      <color rgb="FFC00000"/>
      <sz val="10"/>
    </font>
    <font>
      <b val="1"/>
    </font>
    <font>
      <b val="1"/>
      <sz val="14"/>
    </font>
  </fonts>
  <fills count="1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F8F00"/>
        <bgColor rgb="FF808000"/>
      </patternFill>
    </fill>
    <fill>
      <patternFill patternType="solid">
        <fgColor rgb="FFEDEDED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DEDED"/>
      </patternFill>
    </fill>
    <fill>
      <patternFill patternType="solid">
        <fgColor rgb="FFDDEBF7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FFF2CC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vertical="top" wrapText="1"/>
    </xf>
    <xf numFmtId="0" fontId="7" fillId="6" borderId="2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0" fillId="11" borderId="0" applyAlignment="1" pivotButton="0" quotePrefix="0" xfId="0">
      <alignment vertical="top" wrapText="1"/>
    </xf>
    <xf numFmtId="0" fontId="10" fillId="8" borderId="7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11" borderId="7" applyAlignment="1" pivotButton="0" quotePrefix="0" xfId="0">
      <alignment vertical="top" wrapText="1"/>
    </xf>
    <xf numFmtId="0" fontId="10" fillId="0" borderId="0" pivotButton="0" quotePrefix="0" xfId="0"/>
    <xf numFmtId="0" fontId="0" fillId="9" borderId="7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0" fillId="10" borderId="7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Обычный" xfId="0" builtinId="0"/>
  </cellStyles>
  <dxfs count="1">
    <dxf>
      <fill>
        <patternFill>
          <bgColor rgb="FFF4B6B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CE4D6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Claude</author>
  </authors>
  <commentList>
    <comment ref="N2" authorId="0" shapeId="0">
      <text>
        <t>Фамилия Имя Отчество — ровно как в протоколе. Имя и отчество — настоящие. Фамилия настоящая, только если она одна в деле; иначе — фамилия роли (Лёвин, Гнедич…). «Отчество?» — замени.</t>
      </text>
    </comment>
    <comment ref="O2" authorId="0" shapeId="0">
      <text>
        <t>Число лет в игре. Поставил возраст из сценария — можно поменять. Волков минимум на 15 лет моложе Воронцова.</t>
      </text>
    </comment>
    <comment ref="P2" authorId="0" shapeId="0">
      <text>
        <t>2–3 коротких выражения, по которым узнают человека.</t>
      </text>
    </comment>
    <comment ref="R2" authorId="0" shapeId="0">
      <text>
        <t>Лучше всего — скрины (присылай в чат по одному человеку). Здесь можно коротко: точки, смайлы, «))», длина сообщений.</t>
      </text>
    </comment>
    <comment ref="W2" authorId="0" shapeId="0">
      <text>
        <t>Сюда же: как зовут близкие (дружеское имя) — особенно для Воронцова и Марины.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26" t="inlineStr"/>
      <c r="B1" s="27" t="inlineStr">
        <is>
          <t>КАК ЗАПОЛНЯТЬ (обновлено 20.10.2026)</t>
        </is>
      </c>
    </row>
    <row r="2">
      <c r="A2" s="26" t="inlineStr"/>
      <c r="B2" s="26" t="inlineStr">
        <is>
          <t>Работаем по очереди: один человек → одно сообщение в чат. Пока ты собираешь следующего, я переписываю реплики уже присланного.</t>
        </is>
      </c>
    </row>
    <row r="3">
      <c r="A3" s="26" t="inlineStr">
        <is>
          <t>1</t>
        </is>
      </c>
      <c r="B3" s="26" t="inlineStr">
        <is>
          <t>Лист «Персонажи», колонка X «★ Что сделать» — красные строки. Чаще всего нужно только дописать отчество (в колонке N стоит «Отчество?»).</t>
        </is>
      </c>
    </row>
    <row r="4">
      <c r="A4" s="26" t="inlineStr">
        <is>
          <t>2</t>
        </is>
      </c>
      <c r="B4" s="26" t="inlineStr">
        <is>
          <t>ФИО я уже переставил по правилу: имя и отчество настоящие, фамилия настоящая только если она одна в деле (или родство есть и в сюжете — Кирилл и Марина). Старое ФИО — в колонке Y. Не согласен с фамилией — просто впиши свою.</t>
        </is>
      </c>
    </row>
    <row r="5">
      <c r="A5" s="26" t="inlineStr">
        <is>
          <t>3</t>
        </is>
      </c>
      <c r="B5" s="26" t="inlineStr">
        <is>
          <t>Возраст в игре — поставил числа из сценария (колонка O). Твоё «в жизни N» перенёс в «Заметки». Хочешь другой — меняй число.</t>
        </is>
      </c>
    </row>
    <row r="6">
      <c r="A6" s="26" t="inlineStr">
        <is>
          <t>4</t>
        </is>
      </c>
      <c r="B6" s="26" t="inlineStr">
        <is>
          <t>Скрины переписок — прямо в чат, картинками. Первой строкой: «Кто: Кирилл (дядя)». 3–6 скринов, видны его/её сообщения в разных ситуациях: короткий ответ, длинный рассказ, эмоция, приветствие/прощание.</t>
        </is>
      </c>
    </row>
    <row r="7">
      <c r="A7" s="26" t="inlineStr">
        <is>
          <t>5</t>
        </is>
      </c>
      <c r="B7" s="26" t="inlineStr">
        <is>
          <t>Можно вместо скринов скопировать 10–15 сообщений текстом — так точнее видно точки и смайлы. Номера и чужие личные темы можно закрасить.</t>
        </is>
      </c>
    </row>
    <row r="8">
      <c r="A8" s="26" t="inlineStr">
        <is>
          <t>6</t>
        </is>
      </c>
      <c r="B8" s="26" t="inlineStr">
        <is>
          <t>Скрины и дословные цитаты в игру не попадут — я записываю только манеру («точки в конце, 👌, говорит быстро»).</t>
        </is>
      </c>
    </row>
    <row r="9">
      <c r="A9" s="26" t="inlineStr">
        <is>
          <t>7</t>
        </is>
      </c>
      <c r="B9" s="26" t="inlineStr">
        <is>
          <t>Лист «Скрины и фото» — что прислать по каждому человеку. Отмечай «Отправлено».</t>
        </is>
      </c>
    </row>
    <row r="10">
      <c r="A10" s="26" t="inlineStr">
        <is>
          <t>8</t>
        </is>
      </c>
      <c r="B10" s="26" t="inlineStr">
        <is>
          <t>Таблицу целиком присылай, когда допишешь отчества, — я сразу подставлю имена во все документы.</t>
        </is>
      </c>
    </row>
    <row r="11">
      <c r="A11" s="26" t="inlineStr"/>
      <c r="B11" s="28" t="inlineStr">
        <is>
          <t>Порядок, в котором удобнее присылать: Кирилл → ты (Воронцов) → Слава (Волков) → Алина (Марина) → дедушка (Завьялов) → Юля (Громова) → остальные.</t>
        </is>
      </c>
    </row>
    <row r="12">
      <c r="A12" s="26" t="inlineStr"/>
      <c r="B12" s="28" t="inlineStr">
        <is>
          <t>Решения 20.10: Марина — дочь Кирилла и крестница Воронцова; привычка Кирилла — «Было бы за что»; одинаковые фамилии в деле разведены.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6"/>
  <sheetViews>
    <sheetView zoomScaleNormal="100" workbookViewId="0">
      <selection activeCell="A1" sqref="A1"/>
    </sheetView>
  </sheetViews>
  <sheetFormatPr baseColWidth="8" defaultColWidth="8.6640625" defaultRowHeight="14.25"/>
  <cols>
    <col width="115" customWidth="1" min="1" max="1"/>
  </cols>
  <sheetData>
    <row r="1" ht="20.65" customHeight="1">
      <c r="A1" s="1" t="inlineStr">
        <is>
          <t>За кулисами правды — карта персонажей</t>
        </is>
      </c>
    </row>
    <row r="2">
      <c r="A2" s="2" t="inlineStr">
        <is>
          <t>Версия сюжета от 11.10.2026: премьера 10 ноября, таблетки вместо ингалятора, побег поездом 23:40, одна развязка.</t>
        </is>
      </c>
    </row>
    <row r="3">
      <c r="A3" s="3" t="n"/>
    </row>
    <row r="4" ht="15" customHeight="1">
      <c r="A4" s="4" t="inlineStr">
        <is>
          <t>Что заполнить</t>
        </is>
      </c>
    </row>
    <row r="5">
      <c r="A5" s="3" t="inlineStr">
        <is>
          <t>1. Лист «Персонажи», жёлтые колонки M–V. Сначала 5 ключевых ролей (розовые), потом остальные.</t>
        </is>
      </c>
    </row>
    <row r="6">
      <c r="A6" s="3" t="inlineStr">
        <is>
          <t>2. Колонка L «★ Что важно заполнить» подсказывает, без чего нельзя писать документы именно для этой роли.</t>
        </is>
      </c>
    </row>
    <row r="7">
      <c r="A7" s="3" t="inlineStr">
        <is>
          <t>3. Лист «Участие» сам подтянет имена и покажет, кому из родственников что нужно сделать: фото, видео, голос, переписка.</t>
        </is>
      </c>
    </row>
    <row r="8" ht="27" customHeight="1">
      <c r="A8" s="3" t="inlineStr">
        <is>
          <t>4. Лист «Фоновые имена» — люди, которые только упоминаются в документах. Можно вписать родственников, которым не досталось роли.</t>
        </is>
      </c>
    </row>
    <row r="9">
      <c r="A9" s="3" t="n"/>
    </row>
    <row r="10" ht="15" customHeight="1">
      <c r="A10" s="4" t="inlineStr">
        <is>
          <t>Настоящие имена</t>
        </is>
      </c>
    </row>
    <row r="11">
      <c r="A11" s="3" t="inlineStr">
        <is>
          <t>• Колонка N «ФИО в документах» — ровно так, как будет напечатано в протоколах: Фамилия Имя Отчество.</t>
        </is>
      </c>
    </row>
    <row r="12" ht="27" customHeight="1">
      <c r="A12" s="3" t="inlineStr">
        <is>
          <t>• Если у нескольких родственников общая фамилия, лучше дать им разные (настоящие девичьи или вымышленные). Иначе протоколы будут путать игроков.</t>
        </is>
      </c>
    </row>
    <row r="13" ht="27" customHeight="1">
      <c r="A13" s="3" t="inlineStr">
        <is>
          <t>• Пол персонажа подстраивается под родственника, тексты я перепишу под него. Жёстких ограничений два: Волков на 15+ лет моложе Воронцова; Марина — дочь Кирилла и крестница Воронцова (решение 20.10).</t>
        </is>
      </c>
    </row>
    <row r="14">
      <c r="A14" s="3" t="inlineStr">
        <is>
          <t>• Рабочие имена (Воронцов, Завьялов…) останутся только как обозначение роли в сценарии.</t>
        </is>
      </c>
    </row>
    <row r="15">
      <c r="A15" s="3" t="n"/>
    </row>
    <row r="16" ht="15" customHeight="1">
      <c r="A16" s="4" t="inlineStr">
        <is>
          <t>Как собирать фразы и манеру</t>
        </is>
      </c>
    </row>
    <row r="17">
      <c r="A17" s="3" t="inlineStr">
        <is>
          <t>• Не расспрашивай родственников напрямую — пропадёт сюрприз. Бери из памяти, старых переписок, семейных историй.</t>
        </is>
      </c>
    </row>
    <row r="18" ht="27" customHeight="1">
      <c r="A18" s="3" t="inlineStr">
        <is>
          <t>• Фирменная фраза — 2–3 коротких выражения, по которым человека узнают с полуслова. Лучше бытовые, чем шутки «на один раз».</t>
        </is>
      </c>
    </row>
    <row r="19" ht="27" customHeight="1">
      <c r="A19" s="3" t="inlineStr">
        <is>
          <t>• «Как пишет в мессенджере»: длина сообщений, точки и запятые, смайлы, скобки «))», голосовые, как здоровается и прощается.</t>
        </is>
      </c>
    </row>
    <row r="20">
      <c r="A20" s="3" t="inlineStr">
        <is>
          <t>• Юмор — в мелочах: обмолвки в опросах, детали на фото. Сюжет остаётся серьёзным.</t>
        </is>
      </c>
    </row>
    <row r="21">
      <c r="A21" s="3" t="n"/>
    </row>
    <row r="22" ht="15" customHeight="1">
      <c r="A22" s="4" t="inlineStr">
        <is>
          <t>Правило честности</t>
        </is>
      </c>
    </row>
    <row r="23">
      <c r="A23" s="3" t="inlineStr">
        <is>
          <t>Реальные черты родственников — только атмосфера. Всё, что нужно для раскрытия, будет прямо в документах дела.</t>
        </is>
      </c>
    </row>
    <row r="24">
      <c r="A24" s="3" t="inlineStr">
        <is>
          <t>Поэтому роль можно отдать кому угодно, а для продажи достаточно заменить жёлтые колонки.</t>
        </is>
      </c>
    </row>
    <row r="25">
      <c r="A25" s="3" t="n"/>
    </row>
    <row r="26" ht="15" customHeight="1">
      <c r="A26" s="4" t="inlineStr">
        <is>
          <t>Особая метка</t>
        </is>
      </c>
    </row>
    <row r="27" ht="27" customHeight="1">
      <c r="A27" s="3" t="inlineStr">
        <is>
          <t>Речевая привычка Кирилла — это улика. Она звучит в анонимном звонке (этап 1) и в его повторном опросе (этап 3), но не в первом опросе. ВЫБРАНА 20.10: «Было бы за что» (ответ на «спасибо»).</t>
        </is>
      </c>
    </row>
    <row r="28" ht="27" customHeight="1">
      <c r="A28" s="3" t="inlineStr">
        <is>
          <t>Нужно слово или оборот, который заметен при сравнении двух текстов, но не бросается в глаза: «по факту», «короче говоря», «как бы» и т.п.</t>
        </is>
      </c>
    </row>
    <row r="29">
      <c r="A29" s="3" t="n"/>
    </row>
    <row r="30" ht="15" customHeight="1">
      <c r="A30" s="4" t="inlineStr">
        <is>
          <t>Подсказки по кастингу</t>
        </is>
      </c>
    </row>
    <row r="31" ht="27" customHeight="1">
      <c r="A31" s="3" t="inlineStr">
        <is>
          <t>• Ты сам знаешь разгадку и не играешь — тебе можно взять служебную роль (например, майора Беляева) или сняться на фото.</t>
        </is>
      </c>
    </row>
    <row r="32">
      <c r="A32" s="3" t="inlineStr">
        <is>
          <t>• Играющие родственники тоже могут быть персонажами: персонаж-убийца ничего не знает о деле, как и все.</t>
        </is>
      </c>
    </row>
    <row r="33">
      <c r="A33" s="3" t="inlineStr">
        <is>
          <t>• Убийцу лучше отдать тому, на кого подумают последним, но кто точно воспримет роль с юмором.</t>
        </is>
      </c>
    </row>
    <row r="34">
      <c r="A34" s="3" t="n"/>
    </row>
    <row r="35" ht="15" customHeight="1">
      <c r="A35" s="4" t="inlineStr">
        <is>
          <t>Цвета</t>
        </is>
      </c>
    </row>
    <row r="36" ht="27" customHeight="1">
      <c r="A36" s="3" t="inlineStr">
        <is>
          <t>Розовый — ключевая роль · Жёлтый — заполняешь ты · Серый — пример или служебная роль · Красная заливка в колонке M — ключевая роль ещё без родственника.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50" customWidth="1" min="4" max="4"/>
    <col width="50" customWidth="1" min="5" max="5"/>
    <col width="13" customWidth="1" min="6" max="6"/>
  </cols>
  <sheetData>
    <row r="1">
      <c r="A1" s="29" t="inlineStr">
        <is>
          <t>Очередь</t>
        </is>
      </c>
      <c r="B1" s="29" t="inlineStr">
        <is>
          <t>Роль</t>
        </is>
      </c>
      <c r="C1" s="29" t="inlineStr">
        <is>
          <t>Кто в жизни</t>
        </is>
      </c>
      <c r="D1" s="29" t="inlineStr">
        <is>
          <t>Скрины / текст (манера)</t>
        </is>
      </c>
      <c r="E1" s="29" t="inlineStr">
        <is>
          <t>Фото / видео / голос (позже)</t>
        </is>
      </c>
      <c r="F1" s="29" t="inlineStr">
        <is>
          <t>Отправлено?</t>
        </is>
      </c>
    </row>
    <row r="2">
      <c r="A2" s="30" t="n">
        <v>1</v>
      </c>
      <c r="B2" s="30" t="inlineStr">
        <is>
          <t>Кирилл</t>
        </is>
      </c>
      <c r="C2" s="30">
        <f>IF(Персонажи!M8="","—",Персонажи!M8)</f>
        <v/>
      </c>
      <c r="D2" s="30" t="inlineStr">
        <is>
          <t>Скрины его сообщений: как пишет, «лимон», «вахуе» и т. п.</t>
        </is>
      </c>
      <c r="E2" s="30" t="inlineStr">
        <is>
          <t>Портрет. Голос анонимного звонка 45–60 с (текст дам)</t>
        </is>
      </c>
      <c r="F2" s="31" t="n"/>
    </row>
    <row r="3">
      <c r="A3" s="30" t="n">
        <v>2</v>
      </c>
      <c r="B3" s="30" t="inlineStr">
        <is>
          <t>Иван Воронцов</t>
        </is>
      </c>
      <c r="C3" s="30">
        <f>IF(Персонажи!M4="","—",Персонажи!M4)</f>
        <v/>
      </c>
      <c r="D3" s="30" t="inlineStr">
        <is>
          <t>Твои скрины (скобки, абзацы, 😁 😭) + дружеское имя</t>
        </is>
      </c>
      <c r="E3" s="30" t="inlineStr">
        <is>
          <t>Портрет; в образе Арбенина; у кассы вокзала</t>
        </is>
      </c>
      <c r="F3" s="31" t="n"/>
    </row>
    <row r="4">
      <c r="A4" s="30" t="n">
        <v>3</v>
      </c>
      <c r="B4" s="30" t="inlineStr">
        <is>
          <t>Артём Волков</t>
        </is>
      </c>
      <c r="C4" s="30">
        <f>IF(Персонажи!M6="","—",Персонажи!M6)</f>
        <v/>
      </c>
      <c r="D4" s="30" t="inlineStr">
        <is>
          <t>Скрины по желанию (манера уже есть)</t>
        </is>
      </c>
      <c r="E4" s="30" t="inlineStr">
        <is>
          <t>Портрет; видео-монолог 40–60 с днём у окна; у колонны на вокзале</t>
        </is>
      </c>
      <c r="F4" s="31" t="n"/>
    </row>
    <row r="5">
      <c r="A5" s="30" t="n">
        <v>4</v>
      </c>
      <c r="B5" s="30" t="inlineStr">
        <is>
          <t>Марина Тарасова</t>
        </is>
      </c>
      <c r="C5" s="30">
        <f>IF(Персонажи!M7="","—",Персонажи!M7)</f>
        <v/>
      </c>
      <c r="D5" s="30" t="inlineStr">
        <is>
          <t>Скрины + как называет тебя</t>
        </is>
      </c>
      <c r="E5" s="30" t="inlineStr">
        <is>
          <t>Портрет</t>
        </is>
      </c>
      <c r="F5" s="31" t="n"/>
    </row>
    <row r="6">
      <c r="A6" s="30" t="n">
        <v>5</v>
      </c>
      <c r="B6" s="30" t="inlineStr">
        <is>
          <t>Юрий Завьялов</t>
        </is>
      </c>
      <c r="C6" s="30">
        <f>IF(Персонажи!M5="","—",Персонажи!M5)</f>
        <v/>
      </c>
      <c r="D6" s="30" t="inlineStr">
        <is>
          <t>1–2 фразы; скрины, если пишет</t>
        </is>
      </c>
      <c r="E6" s="30" t="inlineStr">
        <is>
          <t>Портрет; стол в кабинете</t>
        </is>
      </c>
      <c r="F6" s="31" t="n"/>
    </row>
    <row r="7">
      <c r="A7" s="30" t="n">
        <v>6</v>
      </c>
      <c r="B7" s="30" t="inlineStr">
        <is>
          <t>Михаил Громов</t>
        </is>
      </c>
      <c r="C7" s="30">
        <f>IF(Персонажи!M17="","—",Персонажи!M17)</f>
        <v/>
      </c>
      <c r="D7" s="30" t="inlineStr">
        <is>
          <t>Скрины</t>
        </is>
      </c>
      <c r="E7" s="30" t="inlineStr">
        <is>
          <t>Портрет; «на совещании» (за окном лето)</t>
        </is>
      </c>
      <c r="F7" s="31" t="n"/>
    </row>
    <row r="8">
      <c r="A8" s="30" t="n">
        <v>7</v>
      </c>
      <c r="B8" s="30" t="inlineStr">
        <is>
          <t>Светлана Резникова</t>
        </is>
      </c>
      <c r="C8" s="30">
        <f>IF(Персонажи!M10="","—",Персонажи!M10)</f>
        <v/>
      </c>
      <c r="D8" s="30" t="inlineStr">
        <is>
          <t>Фото маминых коротких пометок</t>
        </is>
      </c>
      <c r="E8" s="30" t="inlineStr">
        <is>
          <t>Портрет</t>
        </is>
      </c>
      <c r="F8" s="31" t="n"/>
    </row>
    <row r="9">
      <c r="A9" s="30" t="n">
        <v>8</v>
      </c>
      <c r="B9" s="30" t="inlineStr">
        <is>
          <t>Инна</t>
        </is>
      </c>
      <c r="C9" s="30">
        <f>IF(Персонажи!M14="","—",Персонажи!M14)</f>
        <v/>
      </c>
      <c r="D9" s="30" t="inlineStr">
        <is>
          <t>Скрин подписей к постам</t>
        </is>
      </c>
      <c r="E9" s="30" t="inlineStr">
        <is>
          <t>Портрет; фото в броши; 8–11 фото для её страницы</t>
        </is>
      </c>
      <c r="F9" s="31" t="n"/>
    </row>
    <row r="10">
      <c r="A10" s="30" t="n">
        <v>9</v>
      </c>
      <c r="B10" s="30" t="inlineStr">
        <is>
          <t>Софья Вольская</t>
        </is>
      </c>
      <c r="C10" s="30">
        <f>IF(Персонажи!M16="","—",Персонажи!M16)</f>
        <v/>
      </c>
      <c r="D10" s="30" t="inlineStr">
        <is>
          <t>Скрины</t>
        </is>
      </c>
      <c r="E10" s="30" t="inlineStr">
        <is>
          <t>Портрет</t>
        </is>
      </c>
      <c r="F10" s="31" t="n"/>
    </row>
    <row r="11">
      <c r="A11" s="30" t="n">
        <v>10</v>
      </c>
      <c r="B11" s="30" t="inlineStr">
        <is>
          <t>Стас Лёвин</t>
        </is>
      </c>
      <c r="C11" s="30">
        <f>IF(Персонажи!M9="","—",Персонажи!M9)</f>
        <v/>
      </c>
      <c r="D11" s="30" t="inlineStr">
        <is>
          <t>1–3 фразы, как рассказывает</t>
        </is>
      </c>
      <c r="E11" s="30" t="inlineStr">
        <is>
          <t>Портрет</t>
        </is>
      </c>
      <c r="F11" s="31" t="n"/>
    </row>
    <row r="12">
      <c r="A12" s="30" t="n">
        <v>11</v>
      </c>
      <c r="B12" s="30" t="inlineStr">
        <is>
          <t>Елена Гнедич</t>
        </is>
      </c>
      <c r="C12" s="30">
        <f>IF(Персонажи!M11="","—",Персонажи!M11)</f>
        <v/>
      </c>
      <c r="D12" s="30" t="inlineStr">
        <is>
          <t>1–3 ворчливые фразы</t>
        </is>
      </c>
      <c r="E12" s="30" t="inlineStr">
        <is>
          <t>Портрет</t>
        </is>
      </c>
      <c r="F12" s="31" t="n"/>
    </row>
    <row r="13">
      <c r="A13" s="30" t="n">
        <v>12</v>
      </c>
      <c r="B13" s="30" t="inlineStr">
        <is>
          <t>Олег Петрович</t>
        </is>
      </c>
      <c r="C13" s="30">
        <f>IF(Персонажи!M13="","—",Персонажи!M13)</f>
        <v/>
      </c>
      <c r="D13" s="30" t="inlineStr">
        <is>
          <t>1–2 фразы</t>
        </is>
      </c>
      <c r="E13" s="30" t="inlineStr">
        <is>
          <t>Портрет; 6–8 кадров у двери с сигаретой</t>
        </is>
      </c>
      <c r="F13" s="31" t="n"/>
    </row>
    <row r="14">
      <c r="A14" s="30" t="n">
        <v>13</v>
      </c>
      <c r="B14" s="30" t="inlineStr">
        <is>
          <t>Дмитрий</t>
        </is>
      </c>
      <c r="C14" s="30">
        <f>IF(Персонажи!M15="","—",Персонажи!M15)</f>
        <v/>
      </c>
      <c r="D14" s="30" t="inlineStr">
        <is>
          <t>1–2 фразы</t>
        </is>
      </c>
      <c r="E14" s="30" t="inlineStr">
        <is>
          <t>Портрет; за рулём</t>
        </is>
      </c>
      <c r="F14" s="31" t="n"/>
    </row>
    <row r="15">
      <c r="A15" s="30" t="n">
        <v>14</v>
      </c>
      <c r="B15" s="30" t="inlineStr">
        <is>
          <t>Виктор «Мастер»</t>
        </is>
      </c>
      <c r="C15" s="30">
        <f>IF(Персонажи!M12="","—",Персонажи!M12)</f>
        <v/>
      </c>
      <c r="D15" s="30" t="inlineStr">
        <is>
          <t>1–2 фразы</t>
        </is>
      </c>
      <c r="E15" s="30" t="inlineStr">
        <is>
          <t>Портрет</t>
        </is>
      </c>
      <c r="F15" s="31" t="n"/>
    </row>
    <row r="16">
      <c r="A16" s="30" t="n">
        <v>15</v>
      </c>
      <c r="B16" s="30" t="inlineStr">
        <is>
          <t>Майор Беляев</t>
        </is>
      </c>
      <c r="C16" s="30">
        <f>IF(Персонажи!M20="","—",Персонажи!M20)</f>
        <v/>
      </c>
      <c r="D16" s="30" t="inlineStr">
        <is>
          <t>— (фразы уже есть)</t>
        </is>
      </c>
      <c r="E16" s="30" t="inlineStr">
        <is>
          <t>—</t>
        </is>
      </c>
      <c r="F16" s="31" t="n"/>
    </row>
  </sheetData>
  <dataValidations count="1">
    <dataValidation sqref="F2 F3 F4 F5 F6 F7 F8 F9 F10 F11 F12 F13 F14 F15 F16" showDropDown="0" showInputMessage="0" showErrorMessage="0" allowBlank="1" type="list">
      <formula1>"Да,Нет,Частично"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3"/>
  <sheetViews>
    <sheetView tabSelected="1" zoomScale="85" zoomScaleNormal="85" workbookViewId="0">
      <pane xSplit="2" ySplit="2" topLeftCell="L6" activePane="bottomRight" state="frozen"/>
      <selection pane="topRight" activeCell="C1" sqref="C1"/>
      <selection pane="bottomLeft" activeCell="A3" sqref="A3"/>
      <selection pane="bottomRight" activeCell="Q7" sqref="Q7"/>
    </sheetView>
  </sheetViews>
  <sheetFormatPr baseColWidth="8" defaultColWidth="8.6640625" defaultRowHeight="14.25"/>
  <cols>
    <col width="4" customWidth="1" min="1" max="1"/>
    <col width="18" customWidth="1" min="2" max="2"/>
    <col width="26" customWidth="1" min="3" max="3"/>
    <col width="13" customWidth="1" min="4" max="4"/>
    <col width="18" customWidth="1" min="5" max="5"/>
    <col width="26" customWidth="1" min="6" max="6"/>
    <col width="24" customWidth="1" min="7" max="7"/>
    <col width="34" customWidth="1" min="8" max="8"/>
    <col width="36" customWidth="1" min="9" max="9"/>
    <col width="30" customWidth="1" min="10" max="10"/>
    <col width="24" customWidth="1" min="11" max="11"/>
    <col width="32" customWidth="1" min="12" max="12"/>
    <col width="20" customWidth="1" min="13" max="13"/>
    <col width="24" customWidth="1" min="14" max="14"/>
    <col width="9" customWidth="1" min="15" max="15"/>
    <col width="30" customWidth="1" min="16" max="16"/>
    <col width="28" customWidth="1" min="17" max="19"/>
    <col width="26" customWidth="1" min="20" max="20"/>
    <col width="22" customWidth="1" min="21" max="21"/>
    <col width="11" customWidth="1" min="22" max="22"/>
    <col width="60" customWidth="1" min="24" max="24"/>
    <col width="32" customWidth="1" min="25" max="25"/>
  </cols>
  <sheetData>
    <row r="1" ht="21.75" customHeight="1">
      <c r="A1" s="23" t="inlineStr">
        <is>
          <t>СЦЕНАРИЙ — основа сюжета, менять не нужно</t>
        </is>
      </c>
      <c r="M1" s="24" t="inlineStr">
        <is>
          <t>ЗАПОЛНЯЕШЬ ТЫ</t>
        </is>
      </c>
      <c r="X1" s="32" t="inlineStr">
        <is>
          <t>ПОДСКАЗКИ (обновлено 20.10)</t>
        </is>
      </c>
    </row>
    <row r="2" ht="42" customHeight="1">
      <c r="A2" s="5" t="inlineStr">
        <is>
          <t>№</t>
        </is>
      </c>
      <c r="B2" s="5" t="inlineStr">
        <is>
          <t>Роль (рабочее имя)</t>
        </is>
      </c>
      <c r="C2" s="5" t="inlineStr">
        <is>
          <t>Функция в сюжете</t>
        </is>
      </c>
      <c r="D2" s="5" t="inlineStr">
        <is>
          <t>Важность</t>
        </is>
      </c>
      <c r="E2" s="5" t="inlineStr">
        <is>
          <t>Пол и возраст</t>
        </is>
      </c>
      <c r="F2" s="5" t="inlineStr">
        <is>
          <t>Характер (основа)</t>
        </is>
      </c>
      <c r="G2" s="5" t="inlineStr">
        <is>
          <t>Где был 19:30–20:00</t>
        </is>
      </c>
      <c r="H2" s="5" t="inlineStr">
        <is>
          <t>Первый опрос (этап 1): что говорит</t>
        </is>
      </c>
      <c r="I2" s="5" t="inlineStr">
        <is>
          <t>Что меняется позже</t>
        </is>
      </c>
      <c r="J2" s="5" t="inlineStr">
        <is>
          <t>Что скрывает</t>
        </is>
      </c>
      <c r="K2" s="5" t="inlineStr">
        <is>
          <t>Кого лучше ставить</t>
        </is>
      </c>
      <c r="L2" s="5" t="inlineStr">
        <is>
          <t>★ Что важно заполнить</t>
        </is>
      </c>
      <c r="M2" s="6" t="inlineStr">
        <is>
          <t>Родственник (кто это в жизни)</t>
        </is>
      </c>
      <c r="N2" s="6" t="inlineStr">
        <is>
          <t>ФИО в документах</t>
        </is>
      </c>
      <c r="O2" s="6" t="inlineStr">
        <is>
          <t>Возраст в игре</t>
        </is>
      </c>
      <c r="P2" s="6" t="inlineStr">
        <is>
          <t>Фирменные фразы и словечки</t>
        </is>
      </c>
      <c r="Q2" s="6" t="inlineStr">
        <is>
          <t>Манера речи: темп, обращения, формальность</t>
        </is>
      </c>
      <c r="R2" s="6" t="inlineStr">
        <is>
          <t>Как пишет в мессенджере</t>
        </is>
      </c>
      <c r="S2" s="6" t="inlineStr">
        <is>
          <t>Жесты, привычки, внешние детали</t>
        </is>
      </c>
      <c r="T2" s="6" t="inlineStr">
        <is>
          <t>Семейные шутки и пасхалки</t>
        </is>
      </c>
      <c r="U2" s="6" t="inlineStr">
        <is>
          <t>Табу: что не трогать</t>
        </is>
      </c>
      <c r="V2" s="6" t="inlineStr">
        <is>
          <t>Готов сниматься?</t>
        </is>
      </c>
      <c r="W2" s="20" t="inlineStr">
        <is>
          <t>Заметки</t>
        </is>
      </c>
      <c r="X2" s="29" t="inlineStr">
        <is>
          <t>★ Что сделать по строке</t>
        </is>
      </c>
      <c r="Y2" s="29" t="inlineStr">
        <is>
          <t>Было в «ФИО» до 20.10 (для сверки)</t>
        </is>
      </c>
    </row>
    <row r="3" ht="229.5" customHeight="1">
      <c r="A3" s="7" t="inlineStr">
        <is>
          <t>—</t>
        </is>
      </c>
      <c r="B3" s="7" t="inlineStr">
        <is>
          <t>ПРИМЕР</t>
        </is>
      </c>
      <c r="C3" s="7" t="inlineStr">
        <is>
          <t>—</t>
        </is>
      </c>
      <c r="D3" s="7" t="inlineStr">
        <is>
          <t>—</t>
        </is>
      </c>
      <c r="E3" s="7" t="inlineStr">
        <is>
          <t>—</t>
        </is>
      </c>
      <c r="F3" s="7" t="inlineStr">
        <is>
          <t>—</t>
        </is>
      </c>
      <c r="G3" s="7" t="inlineStr">
        <is>
          <t>—</t>
        </is>
      </c>
      <c r="H3" s="7" t="inlineStr">
        <is>
          <t>—</t>
        </is>
      </c>
      <c r="I3" s="7" t="inlineStr">
        <is>
          <t>—</t>
        </is>
      </c>
      <c r="J3" s="7" t="inlineStr">
        <is>
          <t>—</t>
        </is>
      </c>
      <c r="K3" s="7" t="inlineStr">
        <is>
          <t>—</t>
        </is>
      </c>
      <c r="L3" s="7" t="inlineStr">
        <is>
          <t>—</t>
        </is>
      </c>
      <c r="M3" s="7" t="inlineStr">
        <is>
          <t>Дядя Коля</t>
        </is>
      </c>
      <c r="N3" s="7" t="inlineStr">
        <is>
          <t>Смирнов Николай Петрович</t>
        </is>
      </c>
      <c r="O3" s="7" t="inlineStr">
        <is>
          <t>58</t>
        </is>
      </c>
      <c r="P3" s="7" t="inlineStr">
        <is>
          <t>«Ну это к бабке не ходи», «Разберёмся»</t>
        </is>
      </c>
      <c r="Q3" s="7" t="inlineStr">
        <is>
          <t>Говорит медленно, всех зовёт по отчеству, любит паузы</t>
        </is>
      </c>
      <c r="R3" s="7" t="inlineStr">
        <is>
          <t>Только голосовые; если текстом — без точек и с «))»</t>
        </is>
      </c>
      <c r="S3" s="7" t="inlineStr">
        <is>
          <t>Звенит ключами, всё фотографирует на телефон, вечно в жилетке</t>
        </is>
      </c>
      <c r="T3" s="7" t="inlineStr">
        <is>
          <t>Каждое лето чинит одну и ту же лодку</t>
        </is>
      </c>
      <c r="U3" s="7" t="inlineStr">
        <is>
          <t>Не шутить про здоровье</t>
        </is>
      </c>
      <c r="V3" s="7" t="inlineStr">
        <is>
          <t>Да</t>
        </is>
      </c>
      <c r="W3" s="21" t="inlineStr">
        <is>
          <t>Если человек сильно моложе или старее (10-15 лет хотя бы) то можно будет с нейронкой омолодить/состарить его</t>
        </is>
      </c>
      <c r="X3" s="26" t="inlineStr">
        <is>
          <t>Красная — нужно что-то вписать; зелёная — строка готова.</t>
        </is>
      </c>
    </row>
    <row r="4" ht="191.25" customHeight="1">
      <c r="A4" s="8" t="n">
        <v>1</v>
      </c>
      <c r="B4" s="9" t="inlineStr">
        <is>
          <t>Иван Воронцов</t>
        </is>
      </c>
      <c r="C4" s="8" t="inlineStr">
        <is>
          <t>Жертва. Звезда театра, ведущий подпольных аукционов, владелец архива</t>
        </is>
      </c>
      <c r="D4" s="8" t="inlineStr">
        <is>
          <t>Ключевой</t>
        </is>
      </c>
      <c r="E4" s="10" t="inlineStr">
        <is>
          <t>Лучше мужчина (играет Арбенина); 45–65</t>
        </is>
      </c>
      <c r="F4" s="10" t="inlineStr">
        <is>
          <t>Харизматичный, гордый, привык к вниманию. Последний месяц нервный, оглядывается</t>
        </is>
      </c>
      <c r="G4" s="10" t="inlineStr">
        <is>
          <t>На сцене</t>
        </is>
      </c>
      <c r="H4" s="10" t="inlineStr">
        <is>
          <t>— (погиб). Говорит через переписку и письма</t>
        </is>
      </c>
      <c r="I4" s="10" t="inlineStr">
        <is>
          <t>Этап 3: переписка с Кириллом. Этап 4: облако — ультиматум Завьялову, обращение к тому, кто откроет архив. Развязка: письмо Марине</t>
        </is>
      </c>
      <c r="J4" s="10" t="inlineStr">
        <is>
          <t>Серьёзную астму; долю с аукционов наличными; архив и «мёртвую руку»; побег поездом в 23:40</t>
        </is>
      </c>
      <c r="K4" s="10" t="inlineStr">
        <is>
          <t>Артистичного, кому понравится «эффектно умереть» и сняться в образе</t>
        </is>
      </c>
      <c r="L4" s="10" t="inlineStr">
        <is>
          <t>Как пишет в мессенджере (переписки с Кириллом, Вольской, Завьяловым). Фото в образе Арбенина. Как обращается к Марине</t>
        </is>
      </c>
      <c r="M4" s="11" t="inlineStr">
        <is>
          <t>я</t>
        </is>
      </c>
      <c r="N4" s="11" t="inlineStr">
        <is>
          <t>Молдованов Артём Сергеевич</t>
        </is>
      </c>
      <c r="O4" s="11" t="n">
        <v>56</v>
      </c>
      <c r="P4" s="11" t="n"/>
      <c r="Q4" s="11" t="n"/>
      <c r="R4" s="11" t="inlineStr">
        <is>
          <t xml:space="preserve">со скобками пишет)) любит новые абзацы часто ставить, использует улыбающийся смайл во все зубы, плачущий сильно смайл тоже (могу потом прислать скрины, для всех остальных тоже) </t>
        </is>
      </c>
      <c r="S4" s="11" t="inlineStr">
        <is>
          <t>в очках всегда с прозрачной оправой, густые брови</t>
        </is>
      </c>
      <c r="T4" s="11" t="inlineStr">
        <is>
          <t>над бровями шутят, что якобы "Брежнев"))</t>
        </is>
      </c>
      <c r="U4" s="11" t="inlineStr">
        <is>
          <t>пофиг</t>
        </is>
      </c>
      <c r="V4" s="11" t="inlineStr">
        <is>
          <t>я хочу сгенерировать все видео, фото и тп (подскажи как лучше это сделать)</t>
        </is>
      </c>
      <c r="W4" s="22" t="inlineStr">
        <is>
          <t>я соберу скрины переписок, чтобы ты понимал как общаются люди, подскажи как лучше тебе это преподнести? / Возраст: в жизни мне 20, в игре все равно как поставить</t>
        </is>
      </c>
      <c r="X4" s="33" t="inlineStr">
        <is>
          <t>Фамилия одна в деле — оставил. «Артем» → «Артём».
Впиши в «Заметки», как тебя зовут близкие друзья (Тёма? Артёмка?) — так тебя называет Кирилл в переписке. Скрины своих сообщений — пришли первым или вторым.</t>
        </is>
      </c>
      <c r="Y4" s="26" t="inlineStr">
        <is>
          <t>Молдованов Артем Сергеевич</t>
        </is>
      </c>
    </row>
    <row r="5" ht="51" customHeight="1">
      <c r="A5" s="8" t="n">
        <v>2</v>
      </c>
      <c r="B5" s="9" t="inlineStr">
        <is>
          <t>Юрий Завьялов</t>
        </is>
      </c>
      <c r="C5" s="8" t="inlineStr">
        <is>
          <t>Худрук. Организатор убийства, председатель фонда «Сцена»</t>
        </is>
      </c>
      <c r="D5" s="8" t="inlineStr">
        <is>
          <t>Ключевой</t>
        </is>
      </c>
      <c r="E5" s="10" t="inlineStr">
        <is>
          <t>Любой; 50+, старше и главнее Волкова</t>
        </is>
      </c>
      <c r="F5" s="10" t="inlineStr">
        <is>
          <t>Властный, обаятельный на публике, холодный и расчётливый</t>
        </is>
      </c>
      <c r="G5" s="10" t="inlineStr">
        <is>
          <t>«Один в кабинете, работал с документами» — свидетелей нет</t>
        </is>
      </c>
      <c r="H5" s="10" t="inlineStr">
        <is>
          <t>Ссора в антракте «творческая, про бюджет декораций»; «уехал домой около десяти, сил не было»</t>
        </is>
      </c>
      <c r="I5" s="10" t="inlineStr">
        <is>
          <t>Показаний не меняет. Против него документы: рецепт Анаприлина, записка о камере, рабочий чат, смета, уход в 22:05</t>
        </is>
      </c>
      <c r="J5" s="10" t="inlineStr">
        <is>
          <t>Аукционы и отмыв через фонд; организацию убийства; выбросил телефон Воронцова с моста</t>
        </is>
      </c>
      <c r="K5" s="10" t="inlineStr">
        <is>
          <t>Самого властного и харизматичного — того, кого «и так все слушаются»</t>
        </is>
      </c>
      <c r="L5" s="10" t="inlineStr">
        <is>
          <t>Манера речи (опрос, рабочий чат). Как пишет в мессенджере (ультиматум в облаке). Что «его» стоит на столе для фото кабинета</t>
        </is>
      </c>
      <c r="M5" s="11" t="inlineStr">
        <is>
          <t>мой дедушка</t>
        </is>
      </c>
      <c r="N5" s="34" t="inlineStr">
        <is>
          <t>Тарасов Николай Отчество?</t>
        </is>
      </c>
      <c r="O5" s="11" t="n">
        <v>61</v>
      </c>
      <c r="P5" s="11" t="n"/>
      <c r="Q5" s="11" t="inlineStr">
        <is>
          <t>сдержаный, хорошо поставлена речь</t>
        </is>
      </c>
      <c r="R5" s="11" t="n"/>
      <c r="S5" s="11" t="n"/>
      <c r="T5" s="11" t="n"/>
      <c r="U5" s="11" t="n"/>
      <c r="V5" s="11" t="n"/>
      <c r="W5" t="inlineStr">
        <is>
          <t>Возраст: 69 в жизни</t>
        </is>
      </c>
      <c r="X5" s="33" t="inlineStr">
        <is>
          <t>Нужно отчество дедушки. Фамилию Тарасов оставил только ему.
Нужна 1–2 фразы дедушки и, если пишет в мессенджере, скрины.</t>
        </is>
      </c>
      <c r="Y5" s="26" t="inlineStr">
        <is>
          <t>Тарасов Николай (отчество забыл, потом заполню)</t>
        </is>
      </c>
    </row>
    <row r="6" ht="89.25" customHeight="1">
      <c r="A6" s="8" t="n">
        <v>3</v>
      </c>
      <c r="B6" s="9" t="inlineStr">
        <is>
          <t>Артём Волков</t>
        </is>
      </c>
      <c r="C6" s="8" t="inlineStr">
        <is>
          <t>Дублёр Арбенина. Исполнитель: подменил таблетки, пытался войти в облако, забрал телефон</t>
        </is>
      </c>
      <c r="D6" s="8" t="inlineStr">
        <is>
          <t>Ключевой</t>
        </is>
      </c>
      <c r="E6" s="10" t="inlineStr">
        <is>
          <t>Любой; на 15+ лет моложе Воронцова</t>
        </is>
      </c>
      <c r="F6" s="10" t="inlineStr">
        <is>
          <t>Обаятельный, услужливый, амбициозный, «вне подозрений». В долгах</t>
        </is>
      </c>
      <c r="G6" s="10" t="inlineStr">
        <is>
          <t>«На 3-м этаже, репетировал» — свидетелей нет, показывает видео</t>
        </is>
      </c>
      <c r="H6" s="10" t="inlineStr">
        <is>
          <t>С 18:00 на 3-м этаже «на случай форс-мажора»; спустился «на шум» около 21:05; показывает видео с телефона</t>
        </is>
      </c>
      <c r="I6" s="10" t="inlineStr">
        <is>
          <t>Показаний не меняет. Ломается на этапе 4: дата видео, показания Гнедич, вокзальная камера, лог входа с его телефона. Развязка: признание</t>
        </is>
      </c>
      <c r="J6" s="10" t="inlineStr">
        <is>
          <t>Долг, закрытый через «декорации»; подсмотренный пароль; подмену таблеток; попытку взлома; кражу телефона</t>
        </is>
      </c>
      <c r="K6" s="10" t="inlineStr">
        <is>
          <t>Самого милого и «безобидного», с чувством юмора — на кого подумают последним</t>
        </is>
      </c>
      <c r="L6" s="10" t="inlineStr">
        <is>
          <t>Видео «репетиции»: 40–60 с монолога Арбенина, днём у окна. Фразы для опроса и признания</t>
        </is>
      </c>
      <c r="M6" s="11" t="inlineStr">
        <is>
          <t>муж сестры</t>
        </is>
      </c>
      <c r="N6" s="34" t="inlineStr">
        <is>
          <t>Блинов Вячеслав Отчество?</t>
        </is>
      </c>
      <c r="O6" s="11" t="n">
        <v>31</v>
      </c>
      <c r="P6" s="11" t="n"/>
      <c r="Q6" s="11" t="inlineStr">
        <is>
          <t>доюродушный, улыбается часто, говорит достаточно быстро, вежливый</t>
        </is>
      </c>
      <c r="R6" s="11" t="inlineStr">
        <is>
          <t>ставит точки в конце предложения, начинает нове с той же строчки, использует смайлы (ОК жест рукой, смайл молитвы, иногда здоровается смайлом "машущая рука")</t>
        </is>
      </c>
      <c r="S6" s="11" t="n"/>
      <c r="T6" s="11" t="inlineStr">
        <is>
          <t>много работает и из-за этого не попадает на семейные посиделки, шутят над его женой: даже не буду спрашивать, где славик, он все деньги мира пытается заработать</t>
        </is>
      </c>
      <c r="U6" s="11" t="n"/>
      <c r="V6" s="11" t="n"/>
      <c r="W6" t="inlineStr">
        <is>
          <t>Возраст: в жизни 32</t>
        </is>
      </c>
      <c r="X6" s="33" t="inlineStr">
        <is>
          <t>Нужно отчество Славы. Фамилию Блинов оставил ему (у Громовой теперь другая).
Манера есть. Скрины — по желанию.</t>
        </is>
      </c>
      <c r="Y6" s="26" t="inlineStr">
        <is>
          <t xml:space="preserve">Блинов Вячеслав </t>
        </is>
      </c>
    </row>
    <row r="7" ht="51" customHeight="1">
      <c r="A7" s="8" t="n">
        <v>4</v>
      </c>
      <c r="B7" s="9" t="inlineStr">
        <is>
          <t>Марина Тарасова</t>
        </is>
      </c>
      <c r="C7" s="8" t="inlineStr">
        <is>
          <t>Крестница Воронцова и дочь Кирилла (решение 20.10). Своих детей у Воронцова нет — она ему вместо дочери</t>
        </is>
      </c>
      <c r="D7" s="8" t="inlineStr">
        <is>
          <t>Ключевой</t>
        </is>
      </c>
      <c r="E7" s="10" t="inlineStr">
        <is>
          <t>Женщина; около 24 в игре</t>
        </is>
      </c>
      <c r="F7" s="10" t="inlineStr">
        <is>
          <t>Подавленная, закрытая, защищает память мужа</t>
        </is>
      </c>
      <c r="G7" s="10" t="inlineStr">
        <is>
          <t>Дома, говорила по телефону с сестрой — сестра подтверждает</t>
        </is>
      </c>
      <c r="H7" s="10" t="inlineStr">
        <is>
          <t>«Последний месяц крёстный был не в себе, оглядывался»; «на сердце вроде не жаловался»; узнала от Завьялова, позвонила папе (Кириллу)</t>
        </is>
      </c>
      <c r="I7" s="10" t="inlineStr">
        <is>
          <t>Этап 2: признаёт астму крёстного, вскользь — «Седарин на ночь». Этап 4: признаёт, что он собирался уехать и звал её к себе; не сказала даже папе</t>
        </is>
      </c>
      <c r="J7" s="10" t="inlineStr">
        <is>
          <t>Астму крёстного; его побег (винит себя, что отпустила одного)</t>
        </is>
      </c>
      <c r="K7" s="10" t="inlineStr">
        <is>
          <t>Дочь того, кто играет Кирилла — фамилия и отчество совпадут</t>
        </is>
      </c>
      <c r="L7" s="10" t="inlineStr">
        <is>
          <t>Манера речи (три опроса). Как называет мужа. Ей адресовано письмо в развязке</t>
        </is>
      </c>
      <c r="M7" s="11" t="inlineStr">
        <is>
          <t>моя двоюродная сестра</t>
        </is>
      </c>
      <c r="N7" s="11" t="inlineStr">
        <is>
          <t>Горенкова Алина Александровна</t>
        </is>
      </c>
      <c r="O7" s="11" t="n">
        <v>24</v>
      </c>
      <c r="P7" s="11" t="n"/>
      <c r="Q7" s="11" t="n"/>
      <c r="R7" s="11" t="n"/>
      <c r="S7" s="11" t="n"/>
      <c r="T7" s="11" t="n"/>
      <c r="U7" s="11" t="n"/>
      <c r="V7" s="11" t="n"/>
      <c r="W7" t="inlineStr">
        <is>
          <t>Возраст: в жизни 15</t>
        </is>
      </c>
      <c r="X7" s="33" t="inlineStr">
        <is>
          <t>Готово. По сюжету теперь дочь Кирилла и крестница Воронцова — фамилия и отчество совпадают с Кириллом сами.
Нужны: манера речи, как зовёт тебя («дядя Тёма»?) — в «Заметки»; скрины.</t>
        </is>
      </c>
      <c r="Y7" s="26" t="inlineStr">
        <is>
          <t>Горенкова Алина Александровна</t>
        </is>
      </c>
    </row>
    <row r="8" ht="102" customHeight="1">
      <c r="A8" s="8" t="n">
        <v>5</v>
      </c>
      <c r="B8" s="9" t="inlineStr">
        <is>
          <t>Кирилл</t>
        </is>
      </c>
      <c r="C8" s="8" t="inlineStr">
        <is>
          <t>Старый друг Воронцова со школы, отец Марины. Хранитель архива, анонимный звонивший</t>
        </is>
      </c>
      <c r="D8" s="8" t="inlineStr">
        <is>
          <t>Ключевой</t>
        </is>
      </c>
      <c r="E8" s="10" t="inlineStr">
        <is>
          <t>Любой; ровесник Воронцова</t>
        </is>
      </c>
      <c r="F8" s="10" t="inlineStr">
        <is>
          <t>Умный, скрытный, тревожный</t>
        </is>
      </c>
      <c r="G8" s="10" t="inlineStr">
        <is>
          <t>Дома, один — не подтверждено (в театр не входил)</t>
        </is>
      </c>
      <c r="H8" s="10" t="inlineStr">
        <is>
          <t>В шоке, отвечает односложно: «много виделись, вспоминали молодость». Речевой привычки здесь нет</t>
        </is>
      </c>
      <c r="I8" s="10" t="inlineStr">
        <is>
          <t>Этап 3: облако, «мёртвая рука», уведомление о взломе в 19:41, переписка с Воронцовым. Конверт 4: записка с паролем к облаку</t>
        </is>
      </c>
      <c r="J8" s="10" t="inlineStr">
        <is>
          <t>Облако и архив; что знал о взломе ещё при жизни Воронцова; что звонил в полицию он</t>
        </is>
      </c>
      <c r="K8" s="10" t="inlineStr">
        <is>
          <t>Технически подкованного или самого скрытного</t>
        </is>
      </c>
      <c r="L8" s="12" t="inlineStr">
        <is>
          <t>Речевая привычка выбрана: «Было бы за что». Как пишет в мессенджере (скрины). Голос для звонка</t>
        </is>
      </c>
      <c r="M8" s="11" t="inlineStr">
        <is>
          <t>мой дядя</t>
        </is>
      </c>
      <c r="N8" s="11" t="inlineStr">
        <is>
          <t>Горенков Александр Сергеевич</t>
        </is>
      </c>
      <c r="O8" s="11" t="n">
        <v>56</v>
      </c>
      <c r="P8" s="11" t="inlineStr">
        <is>
          <t xml:space="preserve">речевую привычку можно взять: после "спасибо", часто отвечает: "было бы за что" (эту возможно не угадают быстро); также все знают такие фразы: вахуе (сильный шок), когда его переспрашивают и говорят "а?", он отвечает "лимон" </t>
        </is>
      </c>
      <c r="Q8" s="11" t="n"/>
      <c r="R8" s="11" t="inlineStr">
        <is>
          <t>фото пришлю как и для всех остальных</t>
        </is>
      </c>
      <c r="S8" s="11" t="n"/>
      <c r="T8" s="11" t="n"/>
      <c r="U8" s="11" t="n"/>
      <c r="V8" s="11" t="n"/>
      <c r="W8" t="inlineStr">
        <is>
          <t>Возраст: в жизни 48</t>
        </is>
      </c>
      <c r="X8" s="33" t="inlineStr">
        <is>
          <t>Готово. Отец Марины по сюжету — фамилию оставил.
Речевая привычка ВЫБРАНА: «Было бы за что» (ответ на «спасибо») — уже в звонке и опросе. Нужны скрины его сообщений. Голос для звонка запишем позже.</t>
        </is>
      </c>
      <c r="Y8" s="26" t="inlineStr">
        <is>
          <t>Горенков Александр Сергеевич</t>
        </is>
      </c>
    </row>
    <row r="9" ht="76.5" customHeight="1">
      <c r="A9" s="10" t="n">
        <v>6</v>
      </c>
      <c r="B9" s="13" t="inlineStr">
        <is>
          <t>Стас Лёвин</t>
        </is>
      </c>
      <c r="C9" s="10" t="inlineStr">
        <is>
          <t>Актёр (Звездич). Честный свидетель ссоры — точка опоры для игроков</t>
        </is>
      </c>
      <c r="D9" s="10" t="inlineStr">
        <is>
          <t>Второстепенный</t>
        </is>
      </c>
      <c r="E9" s="10" t="inlineStr">
        <is>
          <t>Любой; любой</t>
        </is>
      </c>
      <c r="F9" s="10" t="inlineStr">
        <is>
          <t>Болтливый, любит драму, но не врёт</t>
        </is>
      </c>
      <c r="G9" s="10" t="inlineStr">
        <is>
          <t>На сцене — подтверждено</t>
        </is>
      </c>
      <c r="H9" s="10" t="inlineStr">
        <is>
          <t>Слышал ссору через стену: «Тебе нужны только площади и деньги» — «Ты заигрался в моралиста, Ваня» — «Думаешь, я не знаю, что ты пытался сделать?»; «Ваня с этим своим баллончиком вечно прятался»</t>
        </is>
      </c>
      <c r="I9" s="10" t="inlineStr">
        <is>
          <t>—</t>
        </is>
      </c>
      <c r="J9" s="10" t="inlineStr">
        <is>
          <t>Ничего</t>
        </is>
      </c>
      <c r="K9" s="10" t="inlineStr">
        <is>
          <t>Самого разговорчивого, любителя пересказывать</t>
        </is>
      </c>
      <c r="L9" s="10" t="inlineStr">
        <is>
          <t>Фирменные фразы и манера пересказа — его опрос самый длинный и живой</t>
        </is>
      </c>
      <c r="M9" s="11" t="inlineStr">
        <is>
          <t>брат моей тети</t>
        </is>
      </c>
      <c r="N9" s="11" t="inlineStr">
        <is>
          <t>Лёвин Сергей Николаевич</t>
        </is>
      </c>
      <c r="O9" s="11" t="n">
        <v>44</v>
      </c>
      <c r="P9" s="11" t="n"/>
      <c r="Q9" s="11" t="n"/>
      <c r="R9" s="11" t="n"/>
      <c r="S9" s="11" t="n"/>
      <c r="T9" s="11" t="n"/>
      <c r="U9" s="11" t="n"/>
      <c r="V9" s="11" t="n"/>
      <c r="W9" t="inlineStr">
        <is>
          <t>Возраст: в жизни 39</t>
        </is>
      </c>
      <c r="X9" s="35" t="inlineStr">
        <is>
          <t>Тарасовых в деле было 4 → фамилия роли. Имя и отчество — настоящие.
1–3 фразы и как рассказывает истории (у него самый длинный опрос).</t>
        </is>
      </c>
      <c r="Y9" s="26" t="inlineStr">
        <is>
          <t>Тарасов Сергей Николаевич</t>
        </is>
      </c>
    </row>
    <row r="10" ht="76.5" customHeight="1">
      <c r="A10" s="10" t="n">
        <v>7</v>
      </c>
      <c r="B10" s="13" t="inlineStr">
        <is>
          <t>Светлана Резникова</t>
        </is>
      </c>
      <c r="C10" s="10" t="inlineStr">
        <is>
          <t>Помощник режиссёра, ведёт журнал спектакля</t>
        </is>
      </c>
      <c r="D10" s="10" t="inlineStr">
        <is>
          <t>Второстепенный</t>
        </is>
      </c>
      <c r="E10" s="10" t="inlineStr">
        <is>
          <t>Любой; любой</t>
        </is>
      </c>
      <c r="F10" s="10" t="inlineStr">
        <is>
          <t>Педантичная, нервная, всё записывает</t>
        </is>
      </c>
      <c r="G10" s="10" t="inlineStr">
        <is>
          <t>За кулисами — подтверждено</t>
        </is>
      </c>
      <c r="H10" s="10" t="inlineStr">
        <is>
          <t>«Все были не в форме»; «Иван выходил не с той интонацией, во втором акте задыхался»</t>
        </is>
      </c>
      <c r="I10" s="10" t="inlineStr">
        <is>
          <t>Этап 3: в 20:25 видела, как он запивал таблетку, «руки тряслись после разговора с Юрием Викторовичем»</t>
        </is>
      </c>
      <c r="J10" s="10" t="inlineStr">
        <is>
          <t>Ничего — просто не придала значения</t>
        </is>
      </c>
      <c r="K10" s="10">
        <f>+M6+K10+K10:K11+K10+M6+K10+M6+K10</f>
        <v/>
      </c>
      <c r="L10" s="10" t="inlineStr">
        <is>
          <t>Манера речи. Стиль коротких пометок для журнала помрежа</t>
        </is>
      </c>
      <c r="M10" s="11" t="inlineStr">
        <is>
          <t>мама моя</t>
        </is>
      </c>
      <c r="N10" s="11" t="inlineStr">
        <is>
          <t>Резникова Наталья Сергеевна</t>
        </is>
      </c>
      <c r="O10" s="11" t="n">
        <v>47</v>
      </c>
      <c r="P10" s="11" t="n"/>
      <c r="Q10" s="11" t="inlineStr">
        <is>
          <t>работает учителем в школе, можно взять базовую манеру как у учителей (стиль коротких пометок, я скину тебе фото (не забудь потом попросить только)</t>
        </is>
      </c>
      <c r="R10" s="11" t="n"/>
      <c r="S10" s="11" t="n"/>
      <c r="T10" s="11" t="n"/>
      <c r="U10" s="11" t="n"/>
      <c r="V10" s="11" t="n"/>
      <c r="W10" t="inlineStr">
        <is>
          <t>Возраст: в жизни 51</t>
        </is>
      </c>
      <c r="X10" s="35" t="inlineStr">
        <is>
          <t>Фамилия Молдованова совпала бы с Воронцовым (игроки решат — жена) → фамилия роли. Исправил «Срегеевна».
Фото маминых коротких пометок (тетрадь, записка, список) — для журнала помрежа.</t>
        </is>
      </c>
      <c r="Y10" s="26" t="inlineStr">
        <is>
          <t>Молдованова Наталья Срегеевна</t>
        </is>
      </c>
    </row>
    <row r="11" ht="38.25" customHeight="1">
      <c r="A11" s="10" t="n">
        <v>8</v>
      </c>
      <c r="B11" s="13" t="inlineStr">
        <is>
          <t>Елена Гнедич</t>
        </is>
      </c>
      <c r="C11" s="10" t="inlineStr">
        <is>
          <t>Костюмер</t>
        </is>
      </c>
      <c r="D11" s="10" t="inlineStr">
        <is>
          <t>Второстепенный</t>
        </is>
      </c>
      <c r="E11" s="10" t="inlineStr">
        <is>
          <t>Любой; любой</t>
        </is>
      </c>
      <c r="F11" s="10" t="inlineStr">
        <is>
          <t>Ворчливая: «я не вахтёр»</t>
        </is>
      </c>
      <c r="G11" s="10" t="inlineStr">
        <is>
          <t>В костюмерке с двумя монтировщиками — подтверждено</t>
        </is>
      </c>
      <c r="H11" s="10" t="inlineStr">
        <is>
          <t>«Кто-то всё время бегал — рабочие, пресса, свои. Я не вахтёр»</t>
        </is>
      </c>
      <c r="I11" s="10" t="inlineStr">
        <is>
          <t>Этап 4: видела Волкова у гримёрки №4 в 21:08, «он шёл оттуда»</t>
        </is>
      </c>
      <c r="J11" s="10" t="inlineStr">
        <is>
          <t>Что видела Волкова — не хотела наговаривать на «хорошего мальчика»</t>
        </is>
      </c>
      <c r="K11" s="10" t="inlineStr">
        <is>
          <t>Главного ворчуна семьи</t>
        </is>
      </c>
      <c r="L11" s="10" t="inlineStr">
        <is>
          <t>Ворчливые фразы</t>
        </is>
      </c>
      <c r="M11" s="11" t="inlineStr">
        <is>
          <t>бабушка</t>
        </is>
      </c>
      <c r="N11" s="34" t="inlineStr">
        <is>
          <t>Гнедич Галина Отчество?</t>
        </is>
      </c>
      <c r="O11" s="11" t="n">
        <v>63</v>
      </c>
      <c r="P11" s="11" t="n"/>
      <c r="Q11" s="11" t="n"/>
      <c r="R11" s="11" t="n"/>
      <c r="S11" s="11" t="n"/>
      <c r="T11" s="11" t="n"/>
      <c r="U11" s="11" t="n"/>
      <c r="V11" s="11" t="n"/>
      <c r="W11" t="inlineStr">
        <is>
          <t>Возраст: в жизни 68</t>
        </is>
      </c>
      <c r="X11" s="33" t="inlineStr">
        <is>
          <t>Нужно отчество бабушки. Тарасовых было 4 → фамилия роли.
1–3 ворчливые фразы бабушки.</t>
        </is>
      </c>
      <c r="Y11" s="26" t="inlineStr">
        <is>
          <t>Тарасова Галина ..</t>
        </is>
      </c>
    </row>
    <row r="12" ht="38.25" customHeight="1">
      <c r="A12" s="10" t="n">
        <v>9</v>
      </c>
      <c r="B12" s="13" t="inlineStr">
        <is>
          <t>Виктор «Мастер»</t>
        </is>
      </c>
      <c r="C12" s="10" t="inlineStr">
        <is>
          <t>Осветитель. Его лог пульта даёт точное время остановки спектакля</t>
        </is>
      </c>
      <c r="D12" s="10" t="inlineStr">
        <is>
          <t>Второстепенный</t>
        </is>
      </c>
      <c r="E12" s="10" t="inlineStr">
        <is>
          <t>Любой; любой</t>
        </is>
      </c>
      <c r="F12" s="10" t="inlineStr">
        <is>
          <t>Немногословный профи</t>
        </is>
      </c>
      <c r="G12" s="10" t="inlineStr">
        <is>
          <t>В световой будке — подтверждено логом пульта</t>
        </is>
      </c>
      <c r="H12" s="10" t="inlineStr">
        <is>
          <t>«Стоял у пульта, ничего подозрительного»</t>
        </is>
      </c>
      <c r="I12" s="10" t="inlineStr">
        <is>
          <t>Этап 2: лог пульта — аварийная остановка в 21:02:31</t>
        </is>
      </c>
      <c r="J12" s="10" t="inlineStr">
        <is>
          <t>Ничего</t>
        </is>
      </c>
      <c r="K12" s="10" t="inlineStr">
        <is>
          <t>Молчаливого «технаря»</t>
        </is>
      </c>
      <c r="L12" s="10" t="inlineStr">
        <is>
          <t>1–2 фирменные фразы</t>
        </is>
      </c>
      <c r="M12" s="11" t="inlineStr">
        <is>
          <t>двоюродный брат</t>
        </is>
      </c>
      <c r="N12" s="11" t="inlineStr">
        <is>
          <t>Кузнецов Антон Александрович</t>
        </is>
      </c>
      <c r="O12" s="11" t="n">
        <v>50</v>
      </c>
      <c r="P12" s="11" t="n"/>
      <c r="Q12" s="11" t="n"/>
      <c r="R12" s="11" t="n"/>
      <c r="S12" s="11" t="n"/>
      <c r="T12" s="11" t="n"/>
      <c r="U12" s="11" t="n"/>
      <c r="V12" s="11" t="n"/>
      <c r="W12" t="inlineStr">
        <is>
          <t>Возраст: в жизни 25</t>
        </is>
      </c>
      <c r="X12" s="35" t="inlineStr">
        <is>
          <t>Горенков Антон Александрович выглядел бы сыном Кирилла → фамилия роли.
1–2 фразы.</t>
        </is>
      </c>
      <c r="Y12" s="26" t="inlineStr">
        <is>
          <t>Горенков Антон Александрович</t>
        </is>
      </c>
    </row>
    <row r="13" ht="38.25" customHeight="1">
      <c r="A13" s="10" t="n">
        <v>10</v>
      </c>
      <c r="B13" s="13" t="inlineStr">
        <is>
          <t>Олег Петрович</t>
        </is>
      </c>
      <c r="C13" s="10" t="inlineStr">
        <is>
          <t>Охранник служебного входа</t>
        </is>
      </c>
      <c r="D13" s="10" t="inlineStr">
        <is>
          <t>Второстепенный</t>
        </is>
      </c>
      <c r="E13" s="10" t="inlineStr">
        <is>
          <t>Любой; старше</t>
        </is>
      </c>
      <c r="F13" s="10" t="inlineStr">
        <is>
          <t>Упрямый, добродушный, боится увольнения</t>
        </is>
      </c>
      <c r="G13" s="10" t="inlineStr">
        <is>
          <t>Курил 19:35–19:50 — видно на внешней камере</t>
        </is>
      </c>
      <c r="H13" s="10" t="inlineStr">
        <is>
          <t>«Муха не пролетела, весь вечер на посту»</t>
        </is>
      </c>
      <c r="I13" s="10" t="inlineStr">
        <is>
          <t>Этап 2: после кадров камеры признаёт перекур, просит не говорить начальству</t>
        </is>
      </c>
      <c r="J13" s="10" t="inlineStr">
        <is>
          <t>Перекур</t>
        </is>
      </c>
      <c r="K13" s="10" t="inlineStr">
        <is>
          <t>Упёртого, но добродушного</t>
        </is>
      </c>
      <c r="L13" s="10" t="inlineStr">
        <is>
          <t>Фото «с камеры»: 6–8 кадров у двери с сигаретой (можно бутафорской)</t>
        </is>
      </c>
      <c r="M13" s="11" t="inlineStr">
        <is>
          <t>мужчина моей мамы</t>
        </is>
      </c>
      <c r="N13" s="34" t="inlineStr">
        <is>
          <t>Лемонов Алексей Отчество?</t>
        </is>
      </c>
      <c r="O13" s="11" t="n">
        <v>64</v>
      </c>
      <c r="P13" s="11" t="n"/>
      <c r="Q13" s="11" t="n"/>
      <c r="R13" s="11" t="n"/>
      <c r="S13" s="11" t="n"/>
      <c r="T13" s="11" t="n"/>
      <c r="U13" s="11" t="n"/>
      <c r="V13" s="11" t="n"/>
      <c r="X13" s="33" t="inlineStr">
        <is>
          <t>Нужно отчество.
1–2 фразы.</t>
        </is>
      </c>
      <c r="Y13" s="26" t="inlineStr">
        <is>
          <t>Лемонов Алексей</t>
        </is>
      </c>
    </row>
    <row r="14" ht="38.25" customHeight="1">
      <c r="A14" s="10" t="n">
        <v>11</v>
      </c>
      <c r="B14" s="13" t="inlineStr">
        <is>
          <t>Инна</t>
        </is>
      </c>
      <c r="C14" s="10" t="inlineStr">
        <is>
          <t>Буфетчица. Ложный след</t>
        </is>
      </c>
      <c r="D14" s="10" t="inlineStr">
        <is>
          <t>Второстепенный</t>
        </is>
      </c>
      <c r="E14" s="10" t="inlineStr">
        <is>
          <t>Любой; любой</t>
        </is>
      </c>
      <c r="F14" s="10" t="inlineStr">
        <is>
          <t>Суетливая, невнимательная, любит красивое</t>
        </is>
      </c>
      <c r="G14" s="10" t="inlineStr">
        <is>
          <t>«Носила чай по гримёркам» — свидетелей нет</t>
        </is>
      </c>
      <c r="H14" s="10" t="inlineStr">
        <is>
          <t>Забирала чашки, «всё как обычно»</t>
        </is>
      </c>
      <c r="I14" s="10" t="inlineStr">
        <is>
          <t>Этап 2: пропажи из костюмерки (брошь, шаль, перчатки) и фото в броши в её соцсети</t>
        </is>
      </c>
      <c r="J14" s="10" t="inlineStr">
        <is>
          <t>Ворует из костюмерки</t>
        </is>
      </c>
      <c r="K14" s="10" t="inlineStr">
        <is>
          <t>Суетливого, вечно куда-то спешащего</t>
        </is>
      </c>
      <c r="L14" s="10" t="inlineStr">
        <is>
          <t>Фото в броши для соцсети. Стиль подписей к постам</t>
        </is>
      </c>
      <c r="M14" s="11" t="inlineStr">
        <is>
          <t>мама мужа моей сестры</t>
        </is>
      </c>
      <c r="N14" s="34" t="inlineStr">
        <is>
          <t>Рябова Светлана Отчество?</t>
        </is>
      </c>
      <c r="O14" s="11" t="n">
        <v>29</v>
      </c>
      <c r="P14" s="11" t="n"/>
      <c r="Q14" s="11" t="n"/>
      <c r="R14" s="11" t="inlineStr">
        <is>
          <t>стиль подписи в соцсетях скину скрином - попроси только</t>
        </is>
      </c>
      <c r="S14" s="11" t="n"/>
      <c r="T14" s="11" t="n"/>
      <c r="U14" s="11" t="n"/>
      <c r="V14" s="11" t="n"/>
      <c r="X14" s="33" t="inlineStr">
        <is>
          <t>Нужно отчество. Авдеенко оставил майору (иначе Инна и майор — «семья»).
Скрин подписей к постам в соцсети.</t>
        </is>
      </c>
      <c r="Y14" s="26" t="inlineStr">
        <is>
          <t>Авдеенко Светлана</t>
        </is>
      </c>
    </row>
    <row r="15" ht="38.25" customHeight="1">
      <c r="A15" s="10" t="n">
        <v>12</v>
      </c>
      <c r="B15" s="13" t="inlineStr">
        <is>
          <t>Дмитрий</t>
        </is>
      </c>
      <c r="C15" s="10" t="inlineStr">
        <is>
          <t>Водитель Воронцова</t>
        </is>
      </c>
      <c r="D15" s="10" t="inlineStr">
        <is>
          <t>Второстепенный</t>
        </is>
      </c>
      <c r="E15" s="10" t="inlineStr">
        <is>
          <t>Любой; любой</t>
        </is>
      </c>
      <c r="F15" s="10" t="inlineStr">
        <is>
          <t>Простой, преданный Воронцову</t>
        </is>
      </c>
      <c r="G15" s="10" t="inlineStr">
        <is>
          <t>В машине у служебного входа — видно на внешней камере</t>
        </is>
      </c>
      <c r="H15" s="10" t="inlineStr">
        <is>
          <t>«Сказал: жди у заднего входа в 22:00, ни секундой позже, мотор не глуши»</t>
        </is>
      </c>
      <c r="I15" s="10" t="inlineStr">
        <is>
          <t>Этап 3: признаёт чемодан и вокзал; молчал, потому что Воронцов просил</t>
        </is>
      </c>
      <c r="J15" s="10" t="inlineStr">
        <is>
          <t>Побег Воронцова</t>
        </is>
      </c>
      <c r="K15" s="10" t="inlineStr">
        <is>
          <t>Надёжного, немногословного</t>
        </is>
      </c>
      <c r="L15" s="10" t="inlineStr">
        <is>
          <t>Фирменные фразы</t>
        </is>
      </c>
      <c r="M15" s="11" t="inlineStr">
        <is>
          <t>жена брата моей тети</t>
        </is>
      </c>
      <c r="N15" s="34" t="inlineStr">
        <is>
          <t>Горохова Ксения Отчество?</t>
        </is>
      </c>
      <c r="O15" s="11" t="n">
        <v>40</v>
      </c>
      <c r="P15" s="11" t="n"/>
      <c r="Q15" s="11" t="n"/>
      <c r="R15" s="11" t="n"/>
      <c r="S15" s="11" t="n"/>
      <c r="T15" s="11" t="n"/>
      <c r="U15" s="11" t="n"/>
      <c r="V15" s="11" t="n"/>
      <c r="W15" t="inlineStr">
        <is>
          <t>Возраст: в жизни 40</t>
        </is>
      </c>
      <c r="X15" s="33" t="inlineStr">
        <is>
          <t>Нужно отчество. Тарасовых было 4 → фамилия роли. Роль женская — водитель Ксения.
1–2 фразы.</t>
        </is>
      </c>
      <c r="Y15" s="26" t="inlineStr">
        <is>
          <t>Тарасова Ксения</t>
        </is>
      </c>
    </row>
    <row r="16" ht="38.25" customHeight="1">
      <c r="A16" s="10" t="n">
        <v>13</v>
      </c>
      <c r="B16" s="13" t="inlineStr">
        <is>
          <t>Софья Вольская</t>
        </is>
      </c>
      <c r="C16" s="10" t="inlineStr">
        <is>
          <t>Меценат. Ложный след, ведущий к аукционам</t>
        </is>
      </c>
      <c r="D16" s="10" t="inlineStr">
        <is>
          <t>Второстепенный</t>
        </is>
      </c>
      <c r="E16" s="10" t="inlineStr">
        <is>
          <t>Любой; 40+</t>
        </is>
      </c>
      <c r="F16" s="10" t="inlineStr">
        <is>
          <t>Светская, уверенная, привыкла получать своё</t>
        </is>
      </c>
      <c r="G16" s="10" t="inlineStr">
        <is>
          <t>В ложе №2 с подругой — подтверждено</t>
        </is>
      </c>
      <c r="H16" s="10" t="inlineStr">
        <is>
          <t>«Хотела поговорить по личному делу», искала его в 18:20, не поймала</t>
        </is>
      </c>
      <c r="I16" s="10" t="inlineStr">
        <is>
          <t>Этап 4: переписка с Воронцовым, письмо эксперта о подделке, строка в реестре облака</t>
        </is>
      </c>
      <c r="J16" s="10" t="inlineStr">
        <is>
          <t>Купила на «Закрытом вечере» поддельную табакерку за 2,4 млн ₽</t>
        </is>
      </c>
      <c r="K16" s="10" t="inlineStr">
        <is>
          <t>Самого элегантного и светского</t>
        </is>
      </c>
      <c r="L16" s="10" t="inlineStr">
        <is>
          <t>Как пишет в мессенджере (переписка с Воронцовым)</t>
        </is>
      </c>
      <c r="M16" s="11" t="inlineStr">
        <is>
          <t>моя тетя</t>
        </is>
      </c>
      <c r="N16" s="11" t="inlineStr">
        <is>
          <t>Вольская Светлана Николаевна</t>
        </is>
      </c>
      <c r="O16" s="11" t="n">
        <v>54</v>
      </c>
      <c r="P16" s="11" t="n"/>
      <c r="Q16" s="11" t="n"/>
      <c r="R16" s="11" t="inlineStr">
        <is>
          <t>скину фото</t>
        </is>
      </c>
      <c r="S16" s="11" t="n"/>
      <c r="T16" s="11" t="n"/>
      <c r="U16" s="11" t="n"/>
      <c r="V16" s="11" t="n"/>
      <c r="W16" t="inlineStr">
        <is>
          <t>Возраст: в жизни 46</t>
        </is>
      </c>
      <c r="X16" s="35" t="inlineStr">
        <is>
          <t>Горенкова выглядела бы женой Кирилла → фамилия роли.
Скрины её сообщений.</t>
        </is>
      </c>
      <c r="Y16" s="26" t="inlineStr">
        <is>
          <t>Горенкова Светлана Николаевна</t>
        </is>
      </c>
    </row>
    <row r="17" ht="76.5" customHeight="1">
      <c r="A17" s="10" t="n">
        <v>14</v>
      </c>
      <c r="B17" s="13" t="inlineStr">
        <is>
          <t>Михаил Громов</t>
        </is>
      </c>
      <c r="C17" s="10" t="inlineStr">
        <is>
          <t>Чиновник. Ложный след</t>
        </is>
      </c>
      <c r="D17" s="10" t="inlineStr">
        <is>
          <t>Второстепенный</t>
        </is>
      </c>
      <c r="E17" s="10" t="inlineStr">
        <is>
          <t>Любой; 45+</t>
        </is>
      </c>
      <c r="F17" s="10" t="inlineStr">
        <is>
          <t>Хамоватый: «Вы знаете, кто я?»</t>
        </is>
      </c>
      <c r="G17" s="10" t="inlineStr">
        <is>
          <t>В ложе №1 с охраной — подтверждено</t>
        </is>
      </c>
      <c r="H17" s="10" t="inlineStr">
        <is>
          <t>Хамит, требует «не портить имидж культурной столицы»; почему уходил — «не ваше дело»</t>
        </is>
      </c>
      <c r="I17" s="10" t="inlineStr">
        <is>
          <t>Бонусные вопросы: пост «на совещании в Северогорске» в 19:30, справка пресс-службы</t>
        </is>
      </c>
      <c r="J17" s="10" t="inlineStr">
        <is>
          <t>Прогулял официальное совещание ради премьеры</t>
        </is>
      </c>
      <c r="K17" s="10" t="inlineStr">
        <is>
          <t>Самого громкого, любящего покомандовать</t>
        </is>
      </c>
      <c r="L17" s="10" t="inlineStr">
        <is>
          <t>Фото «на совещании». Стиль официальных постов</t>
        </is>
      </c>
      <c r="M17" s="11" t="inlineStr">
        <is>
          <t>моя сестра</t>
        </is>
      </c>
      <c r="N17" s="11" t="inlineStr">
        <is>
          <t>Громова Юлия Сергеевна</t>
        </is>
      </c>
      <c r="O17" s="11" t="n">
        <v>57</v>
      </c>
      <c r="P17" s="11" t="inlineStr">
        <is>
          <t>чулида (называет так странного (неопрятного можетет быть) человека): "ну ты и чулида"</t>
        </is>
      </c>
      <c r="Q17" s="11" t="n"/>
      <c r="R17" s="11" t="inlineStr">
        <is>
          <t>скину фото -попроси только</t>
        </is>
      </c>
      <c r="S17" s="11" t="inlineStr">
        <is>
          <t>привыкла накручивать волосы рукой</t>
        </is>
      </c>
      <c r="T17" s="11" t="inlineStr">
        <is>
          <t>однажды пролила на стол вино, все испачкала и после этого сказала фразу "ну главное не в салат"; эту фразу часто вспоминают, когда что-то пачкают</t>
        </is>
      </c>
      <c r="U17" s="11" t="n"/>
      <c r="V17" s="11" t="n"/>
      <c r="W17" t="inlineStr">
        <is>
          <t>Возраст: в жизни 28</t>
        </is>
      </c>
      <c r="X17" s="35" t="inlineStr">
        <is>
          <t>Блинова совпала бы с Волковым → фамилия роли.
Фразы уже в тексте («чулида», «главное не в салат»). Скрины — когда будут.</t>
        </is>
      </c>
      <c r="Y17" s="26" t="inlineStr">
        <is>
          <t>Блинова Юлия Сергеевна</t>
        </is>
      </c>
    </row>
    <row r="18" ht="51" customHeight="1">
      <c r="A18" s="14" t="n">
        <v>15</v>
      </c>
      <c r="B18" s="15" t="inlineStr">
        <is>
          <t>Сержант Ковалёв</t>
        </is>
      </c>
      <c r="C18" s="14" t="inlineStr">
        <is>
          <t>Автор рапорта о Громове</t>
        </is>
      </c>
      <c r="D18" s="14" t="inlineStr">
        <is>
          <t>Служебный</t>
        </is>
      </c>
      <c r="E18" s="10" t="inlineStr">
        <is>
          <t>Любой; любой</t>
        </is>
      </c>
      <c r="F18" s="10" t="inlineStr">
        <is>
          <t>Старательный, канцелярский язык</t>
        </is>
      </c>
      <c r="G18" s="10" t="inlineStr">
        <is>
          <t>—</t>
        </is>
      </c>
      <c r="H18" s="10" t="inlineStr">
        <is>
          <t>—</t>
        </is>
      </c>
      <c r="I18" s="10" t="inlineStr">
        <is>
          <t>—</t>
        </is>
      </c>
      <c r="J18" s="10" t="inlineStr">
        <is>
          <t>—</t>
        </is>
      </c>
      <c r="K18" s="10" t="inlineStr">
        <is>
          <t>Неиграющего родственника или кого угодно</t>
        </is>
      </c>
      <c r="L18" s="10" t="inlineStr">
        <is>
          <t>Только ФИО</t>
        </is>
      </c>
      <c r="M18" s="11" t="inlineStr">
        <is>
          <t>отчим мужа моей сестры (можешь поставить на любого из служебных)</t>
        </is>
      </c>
      <c r="N18" s="11" t="inlineStr">
        <is>
          <t>Авдеенко Михаил</t>
        </is>
      </c>
      <c r="O18" s="11" t="n"/>
      <c r="P18" s="11" t="inlineStr">
        <is>
          <t>не пьет, но постоянно шутит, что надо бы всем налить, что он уже напился, почему стаканы пустые и тп</t>
        </is>
      </c>
      <c r="Q18" s="11" t="n"/>
      <c r="R18" s="11" t="n"/>
      <c r="S18" s="11" t="n"/>
      <c r="T18" s="11" t="n"/>
      <c r="U18" s="11" t="n"/>
      <c r="V18" s="11" t="n"/>
      <c r="X18" s="35" t="inlineStr">
        <is>
          <t>Служебная роль — оставлю вымышленное имя. Михаила Авдеенко предлагаю поставить майором Беляевым (строка ниже).</t>
        </is>
      </c>
      <c r="Y18" s="26" t="inlineStr">
        <is>
          <t>Авдеенко Михаил</t>
        </is>
      </c>
    </row>
    <row r="19" ht="38.25" customHeight="1">
      <c r="A19" s="14" t="n">
        <v>16</v>
      </c>
      <c r="B19" s="15" t="inlineStr">
        <is>
          <t>Судмедэксперт</t>
        </is>
      </c>
      <c r="C19" s="14" t="inlineStr">
        <is>
          <t>Автор заключения и экспертиз</t>
        </is>
      </c>
      <c r="D19" s="14" t="inlineStr">
        <is>
          <t>Служебный</t>
        </is>
      </c>
      <c r="E19" s="10" t="inlineStr">
        <is>
          <t>Любой; любой</t>
        </is>
      </c>
      <c r="F19" s="10" t="inlineStr">
        <is>
          <t>Сухой, педантичный</t>
        </is>
      </c>
      <c r="G19" s="10" t="inlineStr">
        <is>
          <t>—</t>
        </is>
      </c>
      <c r="H19" s="10" t="inlineStr">
        <is>
          <t>—</t>
        </is>
      </c>
      <c r="I19" s="10" t="inlineStr">
        <is>
          <t>Автор экспертиз этапов 2–4</t>
        </is>
      </c>
      <c r="J19" s="10" t="inlineStr">
        <is>
          <t>—</t>
        </is>
      </c>
      <c r="K19" s="10" t="inlineStr">
        <is>
          <t>Неиграющего родственника или кого угодно</t>
        </is>
      </c>
      <c r="L19" s="10" t="inlineStr">
        <is>
          <t>Только ФИО</t>
        </is>
      </c>
      <c r="M19" s="11" t="inlineStr">
        <is>
          <t xml:space="preserve">поставь любое имя </t>
        </is>
      </c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X19" s="35" t="inlineStr">
        <is>
          <t>Оставлю вымышленное имя (Лисицына Наталья Викторовна).</t>
        </is>
      </c>
      <c r="Y19" s="26" t="n"/>
    </row>
    <row r="20" ht="38.25" customHeight="1">
      <c r="A20" s="14" t="n">
        <v>17</v>
      </c>
      <c r="B20" s="15" t="inlineStr">
        <is>
          <t>Майор Беляев</t>
        </is>
      </c>
      <c r="C20" s="14" t="inlineStr">
        <is>
          <t>Руководитель. Рассказчик: вводные письма к каждому этапу</t>
        </is>
      </c>
      <c r="D20" s="14" t="inlineStr">
        <is>
          <t>Служебный</t>
        </is>
      </c>
      <c r="E20" s="10" t="inlineStr">
        <is>
          <t>Любой; любой</t>
        </is>
      </c>
      <c r="F20" s="10" t="inlineStr">
        <is>
          <t>Строгий, ироничный</t>
        </is>
      </c>
      <c r="G20" s="10" t="inlineStr">
        <is>
          <t>—</t>
        </is>
      </c>
      <c r="H20" s="10" t="inlineStr">
        <is>
          <t>—</t>
        </is>
      </c>
      <c r="I20" s="10" t="inlineStr">
        <is>
          <t>Пишет вводные к этапам</t>
        </is>
      </c>
      <c r="J20" s="10" t="inlineStr">
        <is>
          <t>—</t>
        </is>
      </c>
      <c r="K20" s="10" t="inlineStr">
        <is>
          <t>Тебя — ты знаешь разгадку и не играешь</t>
        </is>
      </c>
      <c r="L20" s="10" t="inlineStr">
        <is>
          <t>ФИО. Можно фирменные фразы для вводных писем</t>
        </is>
      </c>
      <c r="M20" s="11" t="inlineStr">
        <is>
          <t>я лучше буду жертвой (не хочу никого убивать)</t>
        </is>
      </c>
      <c r="N20" s="34" t="inlineStr">
        <is>
          <t>Авдеенко Михаил Отчество?</t>
        </is>
      </c>
      <c r="O20" s="11" t="n"/>
      <c r="P20" s="11" t="n"/>
      <c r="Q20" s="11" t="n"/>
      <c r="R20" s="11" t="n"/>
      <c r="S20" s="11" t="n"/>
      <c r="T20" s="11" t="n"/>
      <c r="U20" s="11" t="n"/>
      <c r="V20" s="11" t="n"/>
      <c r="X20" s="33" t="inlineStr">
        <is>
          <t>Предлагаю отчима мужа сестры: майор пишет вводные письма к этапам, его шутки «надо бы всем налить» туда лягут. Нужно отчество.</t>
        </is>
      </c>
      <c r="Y20" s="26" t="n"/>
    </row>
    <row r="22">
      <c r="B22" s="13" t="inlineStr">
        <is>
          <t>Ролей заполнено:</t>
        </is>
      </c>
      <c r="C22" s="10">
        <f>COUNTA(M4:M20)&amp;" из "&amp;ROWS(M4:M20)</f>
        <v/>
      </c>
    </row>
    <row r="23" ht="26.25" customHeight="1">
      <c r="B23" s="13" t="inlineStr">
        <is>
          <t>Ключевых заполнено:</t>
        </is>
      </c>
      <c r="C23" s="10">
        <f>COUNTIFS(D4:D20,"Ключевой",M4:M20,"&lt;&gt;")&amp;" из "&amp;COUNTIF(D4:D20,"Ключевой")</f>
        <v/>
      </c>
    </row>
  </sheetData>
  <mergeCells count="2">
    <mergeCell ref="M1:V1"/>
    <mergeCell ref="A1:L1"/>
  </mergeCells>
  <conditionalFormatting sqref="M4:M11 M13:M14 M16:M17 M19:M20">
    <cfRule type="expression" priority="2" dxfId="0">
      <formula>AND($D4="Ключевой",$M4="")</formula>
    </cfRule>
  </conditionalFormatting>
  <dataValidations count="2">
    <dataValidation sqref="D4:D20" showDropDown="0" showInputMessage="0" showErrorMessage="0" allowBlank="1" type="list">
      <formula1>"Ключевой,Второстепенный,Служебный"</formula1>
      <formula2>0</formula2>
    </dataValidation>
    <dataValidation sqref="V4:V20" showDropDown="0" showInputMessage="0" showErrorMessage="0" allowBlank="1" type="list">
      <formula1>"Да,Нет,Уточнить"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ColWidth="8.6640625" defaultRowHeight="14.25"/>
  <cols>
    <col width="20" customWidth="1" min="1" max="2"/>
    <col width="9" customWidth="1" min="3" max="3"/>
    <col width="22" customWidth="1" min="4" max="4"/>
    <col width="16" customWidth="1" min="5" max="5"/>
    <col width="18" customWidth="1" min="6" max="6"/>
    <col width="9" customWidth="1" min="7" max="7"/>
    <col width="16" customWidth="1" min="8" max="8"/>
    <col width="24" customWidth="1" min="9" max="9"/>
    <col width="16" customWidth="1" min="10" max="10"/>
    <col width="7" customWidth="1" min="11" max="11"/>
  </cols>
  <sheetData>
    <row r="1" ht="31.5" customHeight="1">
      <c r="A1" s="5" t="inlineStr">
        <is>
          <t>Роль</t>
        </is>
      </c>
      <c r="B1" s="5" t="inlineStr">
        <is>
          <t>Родственник</t>
        </is>
      </c>
      <c r="C1" s="5" t="inlineStr">
        <is>
          <t>Портрет</t>
        </is>
      </c>
      <c r="D1" s="5" t="inlineStr">
        <is>
          <t>Фото в образе или сцене</t>
        </is>
      </c>
      <c r="E1" s="5" t="inlineStr">
        <is>
          <t>Видео</t>
        </is>
      </c>
      <c r="F1" s="5" t="inlineStr">
        <is>
          <t>Голос (аудио)</t>
        </is>
      </c>
      <c r="G1" s="5" t="inlineStr">
        <is>
          <t>Первый опрос</t>
        </is>
      </c>
      <c r="H1" s="5" t="inlineStr">
        <is>
          <t>Повторный опрос</t>
        </is>
      </c>
      <c r="I1" s="5" t="inlineStr">
        <is>
          <t>Переписка или чат</t>
        </is>
      </c>
      <c r="J1" s="5" t="inlineStr">
        <is>
          <t>Соцсеть</t>
        </is>
      </c>
      <c r="K1" s="5" t="inlineStr">
        <is>
          <t>Задач</t>
        </is>
      </c>
    </row>
    <row r="2" ht="38.25" customHeight="1">
      <c r="A2" s="13" t="inlineStr">
        <is>
          <t>Иван Воронцов</t>
        </is>
      </c>
      <c r="B2" s="11">
        <f>IF(Персонажи!M4="","— не назначен",Персонажи!M4)</f>
        <v/>
      </c>
      <c r="C2" s="16" t="inlineStr">
        <is>
          <t>●</t>
        </is>
      </c>
      <c r="D2" s="17" t="inlineStr">
        <is>
          <t>Арбенин; у кассы вокзала</t>
        </is>
      </c>
      <c r="E2" s="17" t="n"/>
      <c r="F2" s="17" t="n"/>
      <c r="G2" s="17" t="n"/>
      <c r="H2" s="17" t="n"/>
      <c r="I2" s="17" t="inlineStr">
        <is>
          <t>С Кириллом, Вольской, Завьяловым; письмо Марине</t>
        </is>
      </c>
      <c r="J2" s="17" t="n"/>
      <c r="K2" s="18">
        <f>COUNTA(C2:J2)</f>
        <v/>
      </c>
    </row>
    <row r="3" ht="25.5" customHeight="1">
      <c r="A3" s="13" t="inlineStr">
        <is>
          <t>Юрий Завьялов</t>
        </is>
      </c>
      <c r="B3" s="11">
        <f>IF(Персонажи!M5="","— не назначен",Персонажи!M5)</f>
        <v/>
      </c>
      <c r="C3" s="16" t="inlineStr">
        <is>
          <t>●</t>
        </is>
      </c>
      <c r="D3" s="17" t="inlineStr">
        <is>
          <t>Свой кабинет (вещи на столе)</t>
        </is>
      </c>
      <c r="E3" s="17" t="n"/>
      <c r="F3" s="17" t="n"/>
      <c r="G3" s="16" t="inlineStr">
        <is>
          <t>●</t>
        </is>
      </c>
      <c r="H3" s="17" t="n"/>
      <c r="I3" s="17" t="inlineStr">
        <is>
          <t>Рабочий чат; ультиматум</t>
        </is>
      </c>
      <c r="J3" s="17" t="n"/>
      <c r="K3" s="18">
        <f>COUNTA(C3:J3)</f>
        <v/>
      </c>
    </row>
    <row r="4" ht="25.5" customHeight="1">
      <c r="A4" s="13" t="inlineStr">
        <is>
          <t>Артём Волков</t>
        </is>
      </c>
      <c r="B4" s="11">
        <f>IF(Персонажи!M6="","— не назначен",Персонажи!M6)</f>
        <v/>
      </c>
      <c r="C4" s="16" t="inlineStr">
        <is>
          <t>●</t>
        </is>
      </c>
      <c r="D4" s="17" t="inlineStr">
        <is>
          <t>Вокзал, у колонны</t>
        </is>
      </c>
      <c r="E4" s="17" t="inlineStr">
        <is>
          <t>Монолог 40–60 с</t>
        </is>
      </c>
      <c r="F4" s="17" t="n"/>
      <c r="G4" s="16" t="inlineStr">
        <is>
          <t>●</t>
        </is>
      </c>
      <c r="H4" s="17" t="inlineStr">
        <is>
          <t>Признание (развязка)</t>
        </is>
      </c>
      <c r="I4" s="17" t="inlineStr">
        <is>
          <t>Рабочий чат</t>
        </is>
      </c>
      <c r="J4" s="17" t="n"/>
      <c r="K4" s="18">
        <f>COUNTA(C4:J4)</f>
        <v/>
      </c>
    </row>
    <row r="5" ht="25.5" customHeight="1">
      <c r="A5" s="13" t="inlineStr">
        <is>
          <t>Марина Тарасова</t>
        </is>
      </c>
      <c r="B5" s="11">
        <f>IF(Персонажи!M7="","— не назначен",Персонажи!M7)</f>
        <v/>
      </c>
      <c r="C5" s="16" t="inlineStr">
        <is>
          <t>●</t>
        </is>
      </c>
      <c r="D5" s="17" t="n"/>
      <c r="E5" s="17" t="n"/>
      <c r="F5" s="17" t="n"/>
      <c r="G5" s="16" t="inlineStr">
        <is>
          <t>●</t>
        </is>
      </c>
      <c r="H5" s="17" t="inlineStr">
        <is>
          <t>Этапы 2 и 4</t>
        </is>
      </c>
      <c r="I5" s="17" t="n"/>
      <c r="J5" s="17" t="n"/>
      <c r="K5" s="18">
        <f>COUNTA(C5:J5)</f>
        <v/>
      </c>
    </row>
    <row r="6" ht="25.5" customHeight="1">
      <c r="A6" s="13" t="inlineStr">
        <is>
          <t>Кирилл</t>
        </is>
      </c>
      <c r="B6" s="11">
        <f>IF(Персонажи!M8="","— не назначен",Персонажи!M8)</f>
        <v/>
      </c>
      <c r="C6" s="16" t="inlineStr">
        <is>
          <t>●</t>
        </is>
      </c>
      <c r="D6" s="17" t="n"/>
      <c r="E6" s="17" t="n"/>
      <c r="F6" s="17" t="inlineStr">
        <is>
          <t>Анонимный звонок (или другой голос)</t>
        </is>
      </c>
      <c r="G6" s="16" t="inlineStr">
        <is>
          <t>●</t>
        </is>
      </c>
      <c r="H6" s="17" t="inlineStr">
        <is>
          <t>Этап 3</t>
        </is>
      </c>
      <c r="I6" s="17" t="inlineStr">
        <is>
          <t>С Воронцовым</t>
        </is>
      </c>
      <c r="J6" s="17" t="n"/>
      <c r="K6" s="18">
        <f>COUNTA(C6:J6)</f>
        <v/>
      </c>
    </row>
    <row r="7">
      <c r="A7" s="13" t="inlineStr">
        <is>
          <t>Стас Лёвин</t>
        </is>
      </c>
      <c r="B7" s="11">
        <f>IF(Персонажи!M9="","— не назначен",Персонажи!M9)</f>
        <v/>
      </c>
      <c r="C7" s="16" t="inlineStr">
        <is>
          <t>●</t>
        </is>
      </c>
      <c r="D7" s="17" t="n"/>
      <c r="E7" s="17" t="n"/>
      <c r="F7" s="17" t="n"/>
      <c r="G7" s="16" t="inlineStr">
        <is>
          <t>●</t>
        </is>
      </c>
      <c r="H7" s="17" t="n"/>
      <c r="I7" s="17" t="n"/>
      <c r="J7" s="17" t="n"/>
      <c r="K7" s="18">
        <f>COUNTA(C7:J7)</f>
        <v/>
      </c>
    </row>
    <row r="8">
      <c r="A8" s="13" t="inlineStr">
        <is>
          <t>Светлана Резникова</t>
        </is>
      </c>
      <c r="B8" s="11">
        <f>IF(Персонажи!M10="","— не назначен",Персонажи!M10)</f>
        <v/>
      </c>
      <c r="C8" s="16" t="inlineStr">
        <is>
          <t>●</t>
        </is>
      </c>
      <c r="D8" s="17" t="n"/>
      <c r="E8" s="17" t="n"/>
      <c r="F8" s="17" t="n"/>
      <c r="G8" s="16" t="inlineStr">
        <is>
          <t>●</t>
        </is>
      </c>
      <c r="H8" s="17" t="inlineStr">
        <is>
          <t>Этап 3</t>
        </is>
      </c>
      <c r="I8" s="17" t="n"/>
      <c r="J8" s="17" t="n"/>
      <c r="K8" s="18">
        <f>COUNTA(C8:J8)</f>
        <v/>
      </c>
    </row>
    <row r="9">
      <c r="A9" s="13" t="inlineStr">
        <is>
          <t>Елена Гнедич</t>
        </is>
      </c>
      <c r="B9" s="11">
        <f>IF(Персонажи!M11="","— не назначен",Персонажи!M11)</f>
        <v/>
      </c>
      <c r="C9" s="16" t="inlineStr">
        <is>
          <t>●</t>
        </is>
      </c>
      <c r="D9" s="17" t="n"/>
      <c r="E9" s="17" t="n"/>
      <c r="F9" s="17" t="n"/>
      <c r="G9" s="16" t="inlineStr">
        <is>
          <t>●</t>
        </is>
      </c>
      <c r="H9" s="17" t="inlineStr">
        <is>
          <t>Этап 4</t>
        </is>
      </c>
      <c r="I9" s="17" t="n"/>
      <c r="J9" s="17" t="n"/>
      <c r="K9" s="18">
        <f>COUNTA(C9:J9)</f>
        <v/>
      </c>
    </row>
    <row r="10">
      <c r="A10" s="13" t="inlineStr">
        <is>
          <t>Виктор «Мастер»</t>
        </is>
      </c>
      <c r="B10" s="11">
        <f>IF(Персонажи!M12="","— не назначен",Персонажи!M12)</f>
        <v/>
      </c>
      <c r="C10" s="16" t="inlineStr">
        <is>
          <t>●</t>
        </is>
      </c>
      <c r="D10" s="17" t="n"/>
      <c r="E10" s="17" t="n"/>
      <c r="F10" s="17" t="n"/>
      <c r="G10" s="16" t="inlineStr">
        <is>
          <t>●</t>
        </is>
      </c>
      <c r="H10" s="17" t="n"/>
      <c r="I10" s="17" t="n"/>
      <c r="J10" s="17" t="n"/>
      <c r="K10" s="18">
        <f>COUNTA(C10:J10)</f>
        <v/>
      </c>
    </row>
    <row r="11">
      <c r="A11" s="13" t="inlineStr">
        <is>
          <t>Олег Петрович</t>
        </is>
      </c>
      <c r="B11" s="11">
        <f>IF(Персонажи!M13="","— не назначен",Персонажи!M13)</f>
        <v/>
      </c>
      <c r="C11" s="16" t="inlineStr">
        <is>
          <t>●</t>
        </is>
      </c>
      <c r="D11" s="17" t="inlineStr">
        <is>
          <t>Кадры камеры у двери</t>
        </is>
      </c>
      <c r="E11" s="17" t="n"/>
      <c r="F11" s="17" t="n"/>
      <c r="G11" s="16" t="inlineStr">
        <is>
          <t>●</t>
        </is>
      </c>
      <c r="H11" s="17" t="inlineStr">
        <is>
          <t>Этап 2</t>
        </is>
      </c>
      <c r="I11" s="17" t="n"/>
      <c r="J11" s="17" t="n"/>
      <c r="K11" s="18">
        <f>COUNTA(C11:J11)</f>
        <v/>
      </c>
    </row>
    <row r="12" ht="25.5" customHeight="1">
      <c r="A12" s="13" t="inlineStr">
        <is>
          <t>Инна</t>
        </is>
      </c>
      <c r="B12" s="11">
        <f>IF(Персонажи!M14="","— не назначен",Персонажи!M14)</f>
        <v/>
      </c>
      <c r="C12" s="16" t="inlineStr">
        <is>
          <t>●</t>
        </is>
      </c>
      <c r="D12" s="17" t="inlineStr">
        <is>
          <t>В броши</t>
        </is>
      </c>
      <c r="E12" s="17" t="n"/>
      <c r="F12" s="17" t="n"/>
      <c r="G12" s="16" t="inlineStr">
        <is>
          <t>●</t>
        </is>
      </c>
      <c r="H12" s="17" t="n"/>
      <c r="I12" s="17" t="n"/>
      <c r="J12" s="17" t="inlineStr">
        <is>
          <t>Профиль, 6–8 постов</t>
        </is>
      </c>
      <c r="K12" s="18">
        <f>COUNTA(C12:J12)</f>
        <v/>
      </c>
    </row>
    <row r="13" ht="25.5" customHeight="1">
      <c r="A13" s="13" t="inlineStr">
        <is>
          <t>Дмитрий</t>
        </is>
      </c>
      <c r="B13" s="11">
        <f>IF(Персонажи!M15="","— не назначен",Персонажи!M15)</f>
        <v/>
      </c>
      <c r="C13" s="16" t="inlineStr">
        <is>
          <t>●</t>
        </is>
      </c>
      <c r="D13" s="17" t="inlineStr">
        <is>
          <t>За рулём (кадры камеры)</t>
        </is>
      </c>
      <c r="E13" s="17" t="n"/>
      <c r="F13" s="17" t="n"/>
      <c r="G13" s="16" t="inlineStr">
        <is>
          <t>●</t>
        </is>
      </c>
      <c r="H13" s="17" t="inlineStr">
        <is>
          <t>Этап 3</t>
        </is>
      </c>
      <c r="I13" s="17" t="n"/>
      <c r="J13" s="17" t="n"/>
      <c r="K13" s="18">
        <f>COUNTA(C13:J13)</f>
        <v/>
      </c>
    </row>
    <row r="14">
      <c r="A14" s="13" t="inlineStr">
        <is>
          <t>Софья Вольская</t>
        </is>
      </c>
      <c r="B14" s="11">
        <f>IF(Персонажи!M16="","— не назначен",Персонажи!M16)</f>
        <v/>
      </c>
      <c r="C14" s="16" t="inlineStr">
        <is>
          <t>●</t>
        </is>
      </c>
      <c r="D14" s="17" t="n"/>
      <c r="E14" s="17" t="n"/>
      <c r="F14" s="17" t="n"/>
      <c r="G14" s="16" t="inlineStr">
        <is>
          <t>●</t>
        </is>
      </c>
      <c r="H14" s="17" t="n"/>
      <c r="I14" s="17" t="inlineStr">
        <is>
          <t>С Воронцовым</t>
        </is>
      </c>
      <c r="J14" s="17" t="n"/>
      <c r="K14" s="18">
        <f>COUNTA(C14:J14)</f>
        <v/>
      </c>
    </row>
    <row r="15" ht="25.5" customHeight="1">
      <c r="A15" s="13" t="inlineStr">
        <is>
          <t>Михаил Громов</t>
        </is>
      </c>
      <c r="B15" s="11">
        <f>IF(Персонажи!M17="","— не назначен",Персонажи!M17)</f>
        <v/>
      </c>
      <c r="C15" s="16" t="inlineStr">
        <is>
          <t>●</t>
        </is>
      </c>
      <c r="D15" s="17" t="inlineStr">
        <is>
          <t>На «совещании»</t>
        </is>
      </c>
      <c r="E15" s="17" t="n"/>
      <c r="F15" s="17" t="n"/>
      <c r="G15" s="16" t="inlineStr">
        <is>
          <t>●</t>
        </is>
      </c>
      <c r="H15" s="17" t="n"/>
      <c r="I15" s="17" t="n"/>
      <c r="J15" s="17" t="inlineStr">
        <is>
          <t>Профиль, 8–10 постов</t>
        </is>
      </c>
      <c r="K15" s="18">
        <f>COUNTA(C15:J15)</f>
        <v/>
      </c>
    </row>
    <row r="16">
      <c r="A16" s="13" t="inlineStr">
        <is>
          <t>Сержант Ковалёв</t>
        </is>
      </c>
      <c r="B16" s="11">
        <f>IF(Персонажи!M18="","— не назначен",Персонажи!M18)</f>
        <v/>
      </c>
      <c r="C16" s="17" t="n"/>
      <c r="D16" s="17" t="n"/>
      <c r="E16" s="17" t="n"/>
      <c r="F16" s="17" t="n"/>
      <c r="G16" s="17" t="n"/>
      <c r="H16" s="17" t="n"/>
      <c r="I16" s="17" t="n"/>
      <c r="J16" s="17" t="n"/>
      <c r="K16" s="18">
        <f>COUNTA(C16:J16)</f>
        <v/>
      </c>
    </row>
    <row r="17">
      <c r="A17" s="13" t="inlineStr">
        <is>
          <t>Судмедэксперт</t>
        </is>
      </c>
      <c r="B17" s="11">
        <f>IF(Персонажи!M19="","— не назначен",Персонажи!M19)</f>
        <v/>
      </c>
      <c r="C17" s="17" t="n"/>
      <c r="D17" s="17" t="n"/>
      <c r="E17" s="17" t="n"/>
      <c r="F17" s="17" t="n"/>
      <c r="G17" s="17" t="n"/>
      <c r="H17" s="17" t="n"/>
      <c r="I17" s="17" t="n"/>
      <c r="J17" s="17" t="n"/>
      <c r="K17" s="18">
        <f>COUNTA(C17:J17)</f>
        <v/>
      </c>
    </row>
    <row r="18" ht="38.25" customHeight="1">
      <c r="A18" s="13" t="inlineStr">
        <is>
          <t>Майор Беляев</t>
        </is>
      </c>
      <c r="B18" s="11">
        <f>IF(Персонажи!M20="","— не назначен",Персонажи!M20)</f>
        <v/>
      </c>
      <c r="C18" s="17" t="n"/>
      <c r="D18" s="17" t="n"/>
      <c r="E18" s="17" t="n"/>
      <c r="F18" s="17" t="n"/>
      <c r="G18" s="17" t="n"/>
      <c r="H18" s="17" t="n"/>
      <c r="I18" s="17" t="n"/>
      <c r="J18" s="17" t="n"/>
      <c r="K18" s="18">
        <f>COUNTA(C18:J18)</f>
        <v/>
      </c>
    </row>
    <row r="19">
      <c r="A19" s="13" t="inlineStr">
        <is>
          <t>Всего</t>
        </is>
      </c>
      <c r="C19" s="19">
        <f>COUNTA(C2:C18)</f>
        <v/>
      </c>
      <c r="D19" s="19">
        <f>COUNTA(D2:D18)</f>
        <v/>
      </c>
      <c r="E19" s="19">
        <f>COUNTA(E2:E18)</f>
        <v/>
      </c>
      <c r="F19" s="19">
        <f>COUNTA(F2:F18)</f>
        <v/>
      </c>
      <c r="G19" s="19">
        <f>COUNTA(G2:G18)</f>
        <v/>
      </c>
      <c r="H19" s="19">
        <f>COUNTA(H2:H18)</f>
        <v/>
      </c>
      <c r="I19" s="19">
        <f>COUNTA(I2:I18)</f>
        <v/>
      </c>
      <c r="J19" s="19">
        <f>COUNTA(J2:J18)</f>
        <v/>
      </c>
      <c r="K19" s="19">
        <f>SUM(K2:K18)</f>
        <v/>
      </c>
    </row>
    <row r="20"/>
    <row r="21" ht="15" customHeight="1">
      <c r="A21" s="25" t="inlineStr">
        <is>
          <t>● — нужно обязательно. Текст в ячейке — что именно. Опросы пишу я по фразам из листа «Персонажи», от родственника нужны только фразы и манера.</t>
        </is>
      </c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7" t="n"/>
    </row>
  </sheetData>
  <mergeCells count="1">
    <mergeCell ref="A21:K2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640625" defaultRowHeight="14.25"/>
  <cols>
    <col width="42" customWidth="1" min="1" max="1"/>
    <col width="40" customWidth="1" min="2" max="2"/>
    <col width="30" customWidth="1" min="3" max="3"/>
    <col width="20" customWidth="1" min="4" max="4"/>
    <col width="45" customWidth="1" min="5" max="5"/>
  </cols>
  <sheetData>
    <row r="1" ht="26.25" customHeight="1">
      <c r="A1" s="5" t="inlineStr">
        <is>
          <t>Кто</t>
        </is>
      </c>
      <c r="B1" s="5" t="inlineStr">
        <is>
          <t>Где упоминается</t>
        </is>
      </c>
      <c r="C1" s="5" t="inlineStr">
        <is>
          <t>Имя (заполни)</t>
        </is>
      </c>
      <c r="D1" s="5" t="inlineStr">
        <is>
          <t>Можно родственника?</t>
        </is>
      </c>
      <c r="E1" s="32" t="inlineStr">
        <is>
          <t>Подсказка</t>
        </is>
      </c>
    </row>
    <row r="2">
      <c r="A2" s="13" t="inlineStr">
        <is>
          <t>Исполнительница роли Нины</t>
        </is>
      </c>
      <c r="B2" s="10" t="inlineStr">
        <is>
          <t>Программка «Маскарада» (1-07)</t>
        </is>
      </c>
      <c r="C2" s="11" t="n"/>
      <c r="D2" s="10" t="inlineStr">
        <is>
          <t>Да</t>
        </is>
      </c>
      <c r="E2" s="26" t="inlineStr">
        <is>
          <t>Пустые строки я заполню вымышленными именами — это нормально. Вписывай только тех, кого хочешь увидеть в деле.</t>
        </is>
      </c>
    </row>
    <row r="3">
      <c r="A3" s="13" t="inlineStr">
        <is>
          <t>Подруга Вольской в ложе №2</t>
        </is>
      </c>
      <c r="B3" s="10" t="inlineStr">
        <is>
          <t>Алиби Вольской, её опрос</t>
        </is>
      </c>
      <c r="C3" s="11" t="n"/>
      <c r="D3" s="10" t="inlineStr">
        <is>
          <t>Да</t>
        </is>
      </c>
    </row>
    <row r="4">
      <c r="A4" s="13" t="inlineStr">
        <is>
          <t>Монтировщик 1</t>
        </is>
      </c>
      <c r="B4" s="10" t="inlineStr">
        <is>
          <t>Алиби Гнедич</t>
        </is>
      </c>
      <c r="C4" s="11" t="n"/>
      <c r="D4" s="10" t="inlineStr">
        <is>
          <t>Да</t>
        </is>
      </c>
    </row>
    <row r="5">
      <c r="A5" s="13" t="inlineStr">
        <is>
          <t>Монтировщик 2</t>
        </is>
      </c>
      <c r="B5" s="10" t="inlineStr">
        <is>
          <t>Алиби Гнедич</t>
        </is>
      </c>
      <c r="C5" s="11" t="n"/>
      <c r="D5" s="10" t="inlineStr">
        <is>
          <t>Да</t>
        </is>
      </c>
    </row>
    <row r="6">
      <c r="A6" s="13" t="inlineStr">
        <is>
          <t>Сестра Марины</t>
        </is>
      </c>
      <c r="B6" s="10" t="inlineStr">
        <is>
          <t>Вторая дочь Кирилла. Алиби Марины (телефонный разговор). Только ИМЯ — фамилия и отчество от Кирилла</t>
        </is>
      </c>
      <c r="C6" s="11" t="n"/>
      <c r="D6" s="10" t="inlineStr">
        <is>
          <t>Да</t>
        </is>
      </c>
    </row>
    <row r="7">
      <c r="A7" s="13" t="inlineStr">
        <is>
          <t>Врач скорой</t>
        </is>
      </c>
      <c r="B7" s="10" t="inlineStr">
        <is>
          <t>Карта вызова (1-03)</t>
        </is>
      </c>
      <c r="C7" s="11" t="n"/>
      <c r="D7" s="10" t="inlineStr">
        <is>
          <t>Да</t>
        </is>
      </c>
    </row>
    <row r="8">
      <c r="A8" s="13" t="inlineStr">
        <is>
          <t>Завхоз театра</t>
        </is>
      </c>
      <c r="B8" s="10" t="inlineStr">
        <is>
          <t>Адресат записки о камере (4-05)</t>
        </is>
      </c>
      <c r="C8" s="11" t="n"/>
      <c r="D8" s="10" t="inlineStr">
        <is>
          <t>Да</t>
        </is>
      </c>
    </row>
    <row r="9">
      <c r="A9" s="13" t="inlineStr">
        <is>
          <t>Пресс-секретарь Громова</t>
        </is>
      </c>
      <c r="B9" s="10" t="inlineStr">
        <is>
          <t>Справка пресс-службы (2-10)</t>
        </is>
      </c>
      <c r="C9" s="11" t="n"/>
      <c r="D9" s="10" t="inlineStr">
        <is>
          <t>Да</t>
        </is>
      </c>
    </row>
    <row r="10" ht="26.25" customHeight="1">
      <c r="A10" s="13" t="inlineStr">
        <is>
          <t>Г. Родионов, директор ООО «Сценическая мастерская»</t>
        </is>
      </c>
      <c r="B10" s="10" t="inlineStr">
        <is>
          <t>Выписка по ООО (4-03)</t>
        </is>
      </c>
      <c r="C10" s="11" t="n"/>
      <c r="D10" s="10" t="inlineStr">
        <is>
          <t>Лучше вымышленное</t>
        </is>
      </c>
    </row>
    <row r="11">
      <c r="A11" s="13" t="inlineStr">
        <is>
          <t>Брат Родионова, кредитор Волкова</t>
        </is>
      </c>
      <c r="B11" s="10" t="inlineStr">
        <is>
          <t>Выписка по ООО (4-03)</t>
        </is>
      </c>
      <c r="C11" s="11" t="n"/>
      <c r="D11" s="10" t="inlineStr">
        <is>
          <t>Лучше вымышленное</t>
        </is>
      </c>
    </row>
    <row r="12">
      <c r="A12" s="13" t="inlineStr">
        <is>
          <t>Эксперт, оценивший табакерку</t>
        </is>
      </c>
      <c r="B12" s="10" t="inlineStr">
        <is>
          <t>Письмо эксперта (4-11)</t>
        </is>
      </c>
      <c r="C12" s="11" t="n"/>
      <c r="D12" s="10" t="inlineStr">
        <is>
          <t>Да</t>
        </is>
      </c>
    </row>
    <row r="13">
      <c r="A13" s="13" t="inlineStr">
        <is>
          <t>Охранник Громова</t>
        </is>
      </c>
      <c r="B13" s="10" t="inlineStr">
        <is>
          <t>Алиби Громова, рапорт</t>
        </is>
      </c>
      <c r="C13" s="11" t="n"/>
      <c r="D13" s="10" t="inlineStr">
        <is>
          <t>Да</t>
        </is>
      </c>
    </row>
    <row r="14">
      <c r="A14" t="inlineStr">
        <is>
          <t>Администратор зала</t>
        </is>
      </c>
      <c r="B14" t="inlineStr">
        <is>
          <t>Вызвала скорую (рапорт 1-02, карта 1-03)</t>
        </is>
      </c>
      <c r="D14" t="inlineStr">
        <is>
          <t>Да</t>
        </is>
      </c>
    </row>
    <row r="15">
      <c r="A15" t="inlineStr">
        <is>
          <t>Капельдинер бельэтажа</t>
        </is>
      </c>
      <c r="B15" t="inlineStr">
        <is>
          <t>Подтверждает алиби Громовой и Вольской (1-02)</t>
        </is>
      </c>
      <c r="D15" t="inlineStr">
        <is>
          <t>Да</t>
        </is>
      </c>
    </row>
    <row r="16">
      <c r="A16" t="inlineStr">
        <is>
          <t>Заведующий постановочной частью</t>
        </is>
      </c>
      <c r="B16" t="inlineStr">
        <is>
          <t>Подписал смету декораций (4-02)</t>
        </is>
      </c>
      <c r="D16" t="inlineStr">
        <is>
          <t>Да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1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640625" defaultRowHeight="14.25"/>
  <cols>
    <col width="18" customWidth="1" min="1" max="1"/>
    <col width="80" customWidth="1" min="2" max="2"/>
    <col width="34" customWidth="1" min="3" max="3"/>
  </cols>
  <sheetData>
    <row r="1">
      <c r="A1" s="5" t="inlineStr">
        <is>
          <t>Когда</t>
        </is>
      </c>
      <c r="B1" s="5" t="inlineStr">
        <is>
          <t>Что произошло</t>
        </is>
      </c>
      <c r="C1" s="5" t="inlineStr">
        <is>
          <t>Какой след остался</t>
        </is>
      </c>
    </row>
    <row r="2" ht="25.5" customHeight="1">
      <c r="A2" s="13" t="inlineStr">
        <is>
          <t>Сентябрь 2026</t>
        </is>
      </c>
      <c r="B2" s="10" t="inlineStr">
        <is>
          <t>Ультиматум Воронцова Завьялову. Воронцов проговаривается про ежедневное подтверждение страховки</t>
        </is>
      </c>
      <c r="C2" s="10" t="inlineStr">
        <is>
          <t>Переписка в облаке</t>
        </is>
      </c>
    </row>
    <row r="3">
      <c r="A3" s="13" t="inlineStr">
        <is>
          <t>~15 октября</t>
        </is>
      </c>
      <c r="B3" s="10" t="inlineStr">
        <is>
          <t>Эксперт сообщает Вольской, что табакерка — подделка</t>
        </is>
      </c>
      <c r="C3" s="10" t="inlineStr">
        <is>
          <t>Письмо эксперта 4-11</t>
        </is>
      </c>
    </row>
    <row r="4">
      <c r="A4" s="13" t="inlineStr">
        <is>
          <t>20 октября</t>
        </is>
      </c>
      <c r="B4" s="10" t="inlineStr">
        <is>
          <t>Вольская пишет Воронцову. Он отвечает «Поговорим после премьеры»</t>
        </is>
      </c>
      <c r="C4" s="10" t="inlineStr">
        <is>
          <t>Переписка 4-12</t>
        </is>
      </c>
    </row>
    <row r="5">
      <c r="A5" s="13" t="inlineStr">
        <is>
          <t>~20 октября</t>
        </is>
      </c>
      <c r="B5" s="10" t="inlineStr">
        <is>
          <t>Кирилл настраивает облако и «мёртвую руку», отключает восстановление по SMS</t>
        </is>
      </c>
      <c r="C5" s="10" t="inlineStr">
        <is>
          <t>Переписка Кирилла и Воронцова</t>
        </is>
      </c>
    </row>
    <row r="6" ht="25.5" customHeight="1">
      <c r="A6" s="13" t="inlineStr">
        <is>
          <t>Конец октября</t>
        </is>
      </c>
      <c r="B6" s="10" t="inlineStr">
        <is>
          <t>На репетиции Воронцов подтверждает страховку с телефона, Волков подсматривает пароль</t>
        </is>
      </c>
      <c r="C6" s="10" t="inlineStr">
        <is>
          <t>Переписка 4 ноября</t>
        </is>
      </c>
    </row>
    <row r="7" ht="25.5" customHeight="1">
      <c r="A7" s="13" t="inlineStr">
        <is>
          <t>30 октября, 14:37</t>
        </is>
      </c>
      <c r="B7" s="10" t="inlineStr">
        <is>
          <t>Воронцов покупает билет в кассе №2 за наличные. Волков, следящий за ним, стоит у колонны</t>
        </is>
      </c>
      <c r="C7" s="10" t="inlineStr">
        <is>
          <t>Билет 3-07, вокзальная камера 4-08</t>
        </is>
      </c>
    </row>
    <row r="8" ht="25.5" customHeight="1">
      <c r="A8" s="13" t="inlineStr">
        <is>
          <t>3 ноября</t>
        </is>
      </c>
      <c r="B8" s="10" t="inlineStr">
        <is>
          <t>Завьялов запрещает чинить камеру в коридоре гримёрок; оплата договора с ООО «Сценическая мастерская»</t>
        </is>
      </c>
      <c r="C8" s="10" t="inlineStr">
        <is>
          <t>Записка 4-05, договор 4-02</t>
        </is>
      </c>
    </row>
    <row r="9">
      <c r="A9" s="13" t="inlineStr">
        <is>
          <t>4 ноября</t>
        </is>
      </c>
      <c r="B9" s="10" t="inlineStr">
        <is>
          <t>Кирилл: «Ты вводил пароль при людях на репетиции, смени». Воронцов меняет пароль</t>
        </is>
      </c>
      <c r="C9" s="10" t="inlineStr">
        <is>
          <t>Переписка в 3-03</t>
        </is>
      </c>
    </row>
    <row r="10">
      <c r="A10" s="13" t="inlineStr">
        <is>
          <t>7 ноября</t>
        </is>
      </c>
      <c r="B10" s="10" t="inlineStr">
        <is>
          <t>Завьялов ставит Волкова «дежурить» на 3-м этаже во время премьеры</t>
        </is>
      </c>
      <c r="C10" s="10" t="inlineStr">
        <is>
          <t>Рабочий чат 4-06</t>
        </is>
      </c>
    </row>
    <row r="11">
      <c r="A11" s="13" t="inlineStr">
        <is>
          <t>8 ноября, 14:12</t>
        </is>
      </c>
      <c r="B11" s="10" t="inlineStr">
        <is>
          <t>Волков записывает видео «репетиции» днём</t>
        </is>
      </c>
      <c r="C11" s="10" t="inlineStr">
        <is>
          <t>Метаданные, дневной свет</t>
        </is>
      </c>
    </row>
    <row r="12">
      <c r="A12" s="13" t="inlineStr">
        <is>
          <t>8 ноября</t>
        </is>
      </c>
      <c r="B12" s="10" t="inlineStr">
        <is>
          <t>Завьялов покупает Анаприлин на 2 недели раньше обычного</t>
        </is>
      </c>
      <c r="C12" s="10" t="inlineStr">
        <is>
          <t>Аптечная выписка 4-04</t>
        </is>
      </c>
    </row>
    <row r="13">
      <c r="A13" s="13" t="inlineStr">
        <is>
          <t>10.11, 17:25</t>
        </is>
      </c>
      <c r="B13" s="10" t="inlineStr">
        <is>
          <t>Дмитрий забирает Воронцова, чемодан в багажнике. «Жди в 22:00, мотор не глуши»</t>
        </is>
      </c>
      <c r="C13" s="10" t="inlineStr">
        <is>
          <t>Дмитрий</t>
        </is>
      </c>
    </row>
    <row r="14">
      <c r="A14" s="13" t="inlineStr">
        <is>
          <t>17:40</t>
        </is>
      </c>
      <c r="B14" s="10" t="inlineStr">
        <is>
          <t>Воронцов проходит служебный вход</t>
        </is>
      </c>
      <c r="C14" s="10" t="inlineStr">
        <is>
          <t>Журнал охраны</t>
        </is>
      </c>
    </row>
    <row r="15">
      <c r="A15" s="13" t="inlineStr">
        <is>
          <t>18:02</t>
        </is>
      </c>
      <c r="B15" s="10" t="inlineStr">
        <is>
          <t>Волков проходит служебный вход, поднимается на 3-й этаж</t>
        </is>
      </c>
      <c r="C15" s="10" t="inlineStr">
        <is>
          <t>Журнал охраны</t>
        </is>
      </c>
    </row>
    <row r="16">
      <c r="A16" s="13" t="inlineStr">
        <is>
          <t>18:20</t>
        </is>
      </c>
      <c r="B16" s="10" t="inlineStr">
        <is>
          <t>Вольская ищет Воронцова, он избегает её</t>
        </is>
      </c>
      <c r="C16" s="10" t="inlineStr">
        <is>
          <t>Вольская, Гнедич</t>
        </is>
      </c>
    </row>
    <row r="17">
      <c r="A17" s="13" t="inlineStr">
        <is>
          <t>19:00</t>
        </is>
      </c>
      <c r="B17" s="10" t="inlineStr">
        <is>
          <t>1-й акт</t>
        </is>
      </c>
      <c r="C17" s="10" t="inlineStr">
        <is>
          <t>Журнал помрежа</t>
        </is>
      </c>
    </row>
    <row r="18">
      <c r="A18" s="13" t="inlineStr">
        <is>
          <t>19:35–19:39</t>
        </is>
      </c>
      <c r="B18" s="10" t="inlineStr">
        <is>
          <t>Олег курит. Волков спускается и меняет Седарин на Анаприлин в отделениях ВТ, СР, ЧТ</t>
        </is>
      </c>
      <c r="C18" s="10" t="inlineStr">
        <is>
          <t>Внешняя камера</t>
        </is>
      </c>
    </row>
    <row r="19" ht="25.5" customHeight="1">
      <c r="A19" s="13" t="inlineStr">
        <is>
          <t>19:40</t>
        </is>
      </c>
      <c r="B19" s="10" t="inlineStr">
        <is>
          <t>Волков входит в облако по подсмотренному паролю: 3 неудачи, пароль сменён 4.11; SMS-восстановление отклонено</t>
        </is>
      </c>
      <c r="C19" s="10" t="inlineStr">
        <is>
          <t>Лог облака 3-03</t>
        </is>
      </c>
    </row>
    <row r="20" ht="25.5" customHeight="1">
      <c r="A20" s="13" t="inlineStr">
        <is>
          <t>19:41–19:55</t>
        </is>
      </c>
      <c r="B20" s="10" t="inlineStr">
        <is>
          <t>Кириллу приходит уведомление. Он дважды звонит Воронцову и пишет «Кто-то из театра лезет в облако»</t>
        </is>
      </c>
      <c r="C20" s="10" t="inlineStr">
        <is>
          <t>Телефон Кирилла 3-03</t>
        </is>
      </c>
    </row>
    <row r="21">
      <c r="A21" s="13" t="inlineStr">
        <is>
          <t>19:50</t>
        </is>
      </c>
      <c r="B21" s="10" t="inlineStr">
        <is>
          <t>Олег возвращается на пост</t>
        </is>
      </c>
      <c r="C21" s="10" t="inlineStr">
        <is>
          <t>Внешняя камера</t>
        </is>
      </c>
    </row>
    <row r="22">
      <c r="A22" s="13" t="inlineStr">
        <is>
          <t>~19:52</t>
        </is>
      </c>
      <c r="B22" s="10" t="inlineStr">
        <is>
          <t>Волков сообщает Завьялову, что не вышло</t>
        </is>
      </c>
      <c r="C22" s="10" t="inlineStr">
        <is>
          <t>—</t>
        </is>
      </c>
    </row>
    <row r="23">
      <c r="A23" s="13" t="inlineStr">
        <is>
          <t>20:10</t>
        </is>
      </c>
      <c r="B23" s="10" t="inlineStr">
        <is>
          <t>Антракт. Воронцов читает сообщение Кирилла</t>
        </is>
      </c>
      <c r="C23" s="10" t="inlineStr">
        <is>
          <t>—</t>
        </is>
      </c>
    </row>
    <row r="24">
      <c r="A24" s="13" t="inlineStr">
        <is>
          <t>20:12–20:22</t>
        </is>
      </c>
      <c r="B24" s="10" t="inlineStr">
        <is>
          <t>Завьялов в гримёрке №4 предлагает деньги за отключение страховки. Ссора</t>
        </is>
      </c>
      <c r="C24" s="10" t="inlineStr">
        <is>
          <t>Стас за стеной</t>
        </is>
      </c>
    </row>
    <row r="25">
      <c r="A25" s="13" t="inlineStr">
        <is>
          <t>20:25</t>
        </is>
      </c>
      <c r="B25" s="10" t="inlineStr">
        <is>
          <t>Резникова зовёт «пять минут». Воронцов запивает таблетку из отделения ВТ</t>
        </is>
      </c>
      <c r="C25" s="10" t="inlineStr">
        <is>
          <t>Резникова (повторный опрос)</t>
        </is>
      </c>
    </row>
    <row r="26">
      <c r="A26" s="13" t="inlineStr">
        <is>
          <t>20:30</t>
        </is>
      </c>
      <c r="B26" s="10" t="inlineStr">
        <is>
          <t>2-й акт</t>
        </is>
      </c>
      <c r="C26" s="10" t="inlineStr">
        <is>
          <t>Журнал помрежа</t>
        </is>
      </c>
    </row>
    <row r="27">
      <c r="A27" s="13" t="inlineStr">
        <is>
          <t>~20:50</t>
        </is>
      </c>
      <c r="B27" s="10" t="inlineStr">
        <is>
          <t>Одышка, ингалятор не помогает</t>
        </is>
      </c>
      <c r="C27" s="10" t="inlineStr">
        <is>
          <t>Резникова</t>
        </is>
      </c>
    </row>
    <row r="28">
      <c r="A28" s="13" t="inlineStr">
        <is>
          <t>21:02</t>
        </is>
      </c>
      <c r="B28" s="10" t="inlineStr">
        <is>
          <t>Воронцов падает на сцене</t>
        </is>
      </c>
      <c r="C28" s="10" t="inlineStr">
        <is>
          <t>Лог светового пульта</t>
        </is>
      </c>
    </row>
    <row r="29">
      <c r="A29" s="13" t="inlineStr">
        <is>
          <t>21:04</t>
        </is>
      </c>
      <c r="B29" s="10" t="inlineStr">
        <is>
          <t>Вызов скорой</t>
        </is>
      </c>
      <c r="C29" s="10" t="inlineStr">
        <is>
          <t>Карта вызова</t>
        </is>
      </c>
    </row>
    <row r="30">
      <c r="A30" s="13" t="inlineStr">
        <is>
          <t>21:08</t>
        </is>
      </c>
      <c r="B30" s="10" t="inlineStr">
        <is>
          <t>Волков в гримёрке №4: возвращает Седарин в СР, забывает ЧТ, забирает телефон</t>
        </is>
      </c>
      <c r="C30" s="10" t="inlineStr">
        <is>
          <t>Гнедич</t>
        </is>
      </c>
    </row>
    <row r="31">
      <c r="A31" s="13" t="inlineStr">
        <is>
          <t>21:11 / 21:14</t>
        </is>
      </c>
      <c r="B31" s="10" t="inlineStr">
        <is>
          <t>Скорая прибывает / прибывает наряд полиции</t>
        </is>
      </c>
      <c r="C31" s="10" t="inlineStr">
        <is>
          <t>Карта вызова, рапорт</t>
        </is>
      </c>
    </row>
    <row r="32">
      <c r="A32" s="13" t="inlineStr">
        <is>
          <t>21:18</t>
        </is>
      </c>
      <c r="B32" s="10" t="inlineStr">
        <is>
          <t>Констатация смерти</t>
        </is>
      </c>
      <c r="C32" s="10" t="inlineStr">
        <is>
          <t>Карта вызова</t>
        </is>
      </c>
    </row>
    <row r="33">
      <c r="A33" s="13" t="inlineStr">
        <is>
          <t>21:20</t>
        </is>
      </c>
      <c r="B33" s="10" t="inlineStr">
        <is>
          <t>Громов пытается уйти через ложи</t>
        </is>
      </c>
      <c r="C33" s="10" t="inlineStr">
        <is>
          <t>Рапорт сержанта</t>
        </is>
      </c>
    </row>
    <row r="34">
      <c r="A34" s="13" t="inlineStr">
        <is>
          <t>21:25</t>
        </is>
      </c>
      <c r="B34" s="10" t="inlineStr">
        <is>
          <t>Марина звонит Кириллу, он понимает, что это убийство</t>
        </is>
      </c>
      <c r="C34" s="10" t="inlineStr">
        <is>
          <t>—</t>
        </is>
      </c>
    </row>
    <row r="35">
      <c r="A35" s="13" t="inlineStr">
        <is>
          <t>21:50</t>
        </is>
      </c>
      <c r="B35" s="10" t="inlineStr">
        <is>
          <t>Волков отдаёт телефон Воронцова Завьялову</t>
        </is>
      </c>
      <c r="C35" s="10" t="inlineStr">
        <is>
          <t>—</t>
        </is>
      </c>
    </row>
    <row r="36">
      <c r="A36" s="13" t="inlineStr">
        <is>
          <t>22:00</t>
        </is>
      </c>
      <c r="B36" s="10" t="inlineStr">
        <is>
          <t>Дмитрий ждёт, Воронцов не выходит</t>
        </is>
      </c>
      <c r="C36" s="10" t="inlineStr">
        <is>
          <t>Дмитрий</t>
        </is>
      </c>
    </row>
    <row r="37">
      <c r="A37" s="13" t="inlineStr">
        <is>
          <t>22:05</t>
        </is>
      </c>
      <c r="B37" s="10" t="inlineStr">
        <is>
          <t>Завьялов уходит через служебный вход</t>
        </is>
      </c>
      <c r="C37" s="10" t="inlineStr">
        <is>
          <t>Журнал охраны</t>
        </is>
      </c>
    </row>
    <row r="38">
      <c r="A38" s="13" t="inlineStr">
        <is>
          <t>22:15</t>
        </is>
      </c>
      <c r="B38" s="10" t="inlineStr">
        <is>
          <t>Завьялов выбрасывает телефон с Речного моста</t>
        </is>
      </c>
      <c r="C38" s="10" t="inlineStr">
        <is>
          <t>Данные оператора 4-10</t>
        </is>
      </c>
    </row>
    <row r="39">
      <c r="A39" s="13" t="inlineStr">
        <is>
          <t>23:10</t>
        </is>
      </c>
      <c r="B39" s="10" t="inlineStr">
        <is>
          <t>Волков уходит из театра</t>
        </is>
      </c>
      <c r="C39" s="10" t="inlineStr">
        <is>
          <t>Журнал охраны</t>
        </is>
      </c>
    </row>
    <row r="40">
      <c r="A40" s="13" t="inlineStr">
        <is>
          <t>11.11, 07:50</t>
        </is>
      </c>
      <c r="B40" s="10" t="inlineStr">
        <is>
          <t>Анонимный звонок Кирилла в дежурную часть</t>
        </is>
      </c>
      <c r="C40" s="10" t="inlineStr">
        <is>
          <t>Запись 1-05</t>
        </is>
      </c>
    </row>
    <row r="41">
      <c r="A41" s="13" t="inlineStr">
        <is>
          <t>12.11, утро</t>
        </is>
      </c>
      <c r="B41" s="10" t="inlineStr">
        <is>
          <t>Игроки получают материалы проверки</t>
        </is>
      </c>
      <c r="C41" s="10" t="inlineStr">
        <is>
          <t>Вводное письмо 1-01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2026-10-10T23:56:04Z</dcterms:created>
  <dcterms:modified xsi:type="dcterms:W3CDTF">2026-10-20T18:55:56Z</dcterms:modified>
  <cp:lastModifiedBy>Артем Молдованов</cp:lastModifiedBy>
  <cp:revision>0</cp:revision>
</cp:coreProperties>
</file>