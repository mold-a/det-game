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Новая папка\Работа\det game\"/>
    </mc:Choice>
  </mc:AlternateContent>
  <xr:revisionPtr revIDLastSave="0" documentId="13_ncr:1_{50157EE9-4342-4F21-84E2-E0B0A4216F0F}" xr6:coauthVersionLast="47" xr6:coauthVersionMax="47" xr10:uidLastSave="{00000000-0000-0000-0000-000000000000}"/>
  <bookViews>
    <workbookView xWindow="-98" yWindow="-98" windowWidth="21795" windowHeight="12975" tabRatio="500" activeTab="1" xr2:uid="{00000000-000D-0000-FFFF-FFFF00000000}"/>
  </bookViews>
  <sheets>
    <sheet name="Инструкция" sheetId="1" r:id="rId1"/>
    <sheet name="Персонажи" sheetId="2" r:id="rId2"/>
    <sheet name="Участие" sheetId="3" r:id="rId3"/>
    <sheet name="Фоновые имена" sheetId="4" r:id="rId4"/>
    <sheet name="Таймлайн" sheetId="5" r:id="rId5"/>
  </sheets>
  <calcPr calcId="181029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9" i="3" l="1"/>
  <c r="I19" i="3"/>
  <c r="H19" i="3"/>
  <c r="G19" i="3"/>
  <c r="F19" i="3"/>
  <c r="E19" i="3"/>
  <c r="D19" i="3"/>
  <c r="C19" i="3"/>
  <c r="K18" i="3"/>
  <c r="B18" i="3"/>
  <c r="K17" i="3"/>
  <c r="B17" i="3"/>
  <c r="K16" i="3"/>
  <c r="B16" i="3"/>
  <c r="K15" i="3"/>
  <c r="B15" i="3"/>
  <c r="K14" i="3"/>
  <c r="B14" i="3"/>
  <c r="K13" i="3"/>
  <c r="B13" i="3"/>
  <c r="K12" i="3"/>
  <c r="B12" i="3"/>
  <c r="K11" i="3"/>
  <c r="B11" i="3"/>
  <c r="K10" i="3"/>
  <c r="B10" i="3"/>
  <c r="K9" i="3"/>
  <c r="B9" i="3"/>
  <c r="K8" i="3"/>
  <c r="B8" i="3"/>
  <c r="K7" i="3"/>
  <c r="B7" i="3"/>
  <c r="K6" i="3"/>
  <c r="B6" i="3"/>
  <c r="K5" i="3"/>
  <c r="B5" i="3"/>
  <c r="K4" i="3"/>
  <c r="B4" i="3"/>
  <c r="K3" i="3"/>
  <c r="B3" i="3"/>
  <c r="K2" i="3"/>
  <c r="K19" i="3" s="1"/>
  <c r="B2" i="3"/>
  <c r="C23" i="2"/>
  <c r="C22" i="2"/>
  <c r="K10" i="2"/>
</calcChain>
</file>

<file path=xl/sharedStrings.xml><?xml version="1.0" encoding="utf-8"?>
<sst xmlns="http://schemas.openxmlformats.org/spreadsheetml/2006/main" count="562" uniqueCount="445">
  <si>
    <t>За кулисами правды — карта персонажей</t>
  </si>
  <si>
    <t>Версия сюжета от 11.10.2026: премьера 10 ноября, таблетки вместо ингалятора, побег поездом 23:40, одна развязка.</t>
  </si>
  <si>
    <t>Что заполнить</t>
  </si>
  <si>
    <t>1. Лист «Персонажи», жёлтые колонки M–V. Сначала 5 ключевых ролей (розовые), потом остальные.</t>
  </si>
  <si>
    <t>2. Колонка L «★ Что важно заполнить» подсказывает, без чего нельзя писать документы именно для этой роли.</t>
  </si>
  <si>
    <t>3. Лист «Участие» сам подтянет имена и покажет, кому из родственников что нужно сделать: фото, видео, голос, переписка.</t>
  </si>
  <si>
    <t>4. Лист «Фоновые имена» — люди, которые только упоминаются в документах. Можно вписать родственников, которым не досталось роли.</t>
  </si>
  <si>
    <t>Настоящие имена</t>
  </si>
  <si>
    <t>• Колонка N «ФИО в документах» — ровно так, как будет напечатано в протоколах: Фамилия Имя Отчество.</t>
  </si>
  <si>
    <t>• Если у нескольких родственников общая фамилия, лучше дать им разные (настоящие девичьи или вымышленные). Иначе протоколы будут путать игроков.</t>
  </si>
  <si>
    <t>• Пол персонажа подстраивается под родственника, тексты я перепишу под него. Жёстких ограничений два: Волков на 15+ лет моложе Воронцова; Марина — супруг(а) Воронцова.</t>
  </si>
  <si>
    <t>• Рабочие имена (Воронцов, Завьялов…) останутся только как обозначение роли в сценарии.</t>
  </si>
  <si>
    <t>Как собирать фразы и манеру</t>
  </si>
  <si>
    <t>• Не расспрашивай родственников напрямую — пропадёт сюрприз. Бери из памяти, старых переписок, семейных историй.</t>
  </si>
  <si>
    <t>• Фирменная фраза — 2–3 коротких выражения, по которым человека узнают с полуслова. Лучше бытовые, чем шутки «на один раз».</t>
  </si>
  <si>
    <t>• «Как пишет в мессенджере»: длина сообщений, точки и запятые, смайлы, скобки «))», голосовые, как здоровается и прощается.</t>
  </si>
  <si>
    <t>• Юмор — в мелочах: обмолвки в опросах, детали на фото. Сюжет остаётся серьёзным.</t>
  </si>
  <si>
    <t>Правило честности</t>
  </si>
  <si>
    <t>Реальные черты родственников — только атмосфера. Всё, что нужно для раскрытия, будет прямо в документах дела.</t>
  </si>
  <si>
    <t>Поэтому роль можно отдать кому угодно, а для продажи достаточно заменить жёлтые колонки.</t>
  </si>
  <si>
    <t>Особая метка</t>
  </si>
  <si>
    <t>Речевая привычка Кирилла — это улика. Она звучит в анонимном звонке (этап 1) и в его повторном опросе (этап 3), но не в первом опросе.</t>
  </si>
  <si>
    <t>Нужно слово или оборот, который заметен при сравнении двух текстов, но не бросается в глаза: «по факту», «короче говоря», «как бы» и т.п.</t>
  </si>
  <si>
    <t>Подсказки по кастингу</t>
  </si>
  <si>
    <t>• Ты сам знаешь разгадку и не играешь — тебе можно взять служебную роль (например, майора Беляева) или сняться на фото.</t>
  </si>
  <si>
    <t>• Играющие родственники тоже могут быть персонажами: персонаж-убийца ничего не знает о деле, как и все.</t>
  </si>
  <si>
    <t>• Убийцу лучше отдать тому, на кого подумают последним, но кто точно воспримет роль с юмором.</t>
  </si>
  <si>
    <t>Цвета</t>
  </si>
  <si>
    <t>Розовый — ключевая роль · Жёлтый — заполняешь ты · Серый — пример или служебная роль · Красная заливка в колонке M — ключевая роль ещё без родственника.</t>
  </si>
  <si>
    <t>СЦЕНАРИЙ — основа сюжета, менять не нужно</t>
  </si>
  <si>
    <t>ЗАПОЛНЯЕШЬ ТЫ</t>
  </si>
  <si>
    <t>№</t>
  </si>
  <si>
    <t>Роль (рабочее имя)</t>
  </si>
  <si>
    <t>Функция в сюжете</t>
  </si>
  <si>
    <t>Важность</t>
  </si>
  <si>
    <t>Пол и возраст</t>
  </si>
  <si>
    <t>Характер (основа)</t>
  </si>
  <si>
    <t>Где был 19:30–20:00</t>
  </si>
  <si>
    <t>Первый опрос (этап 1): что говорит</t>
  </si>
  <si>
    <t>Что меняется позже</t>
  </si>
  <si>
    <t>Что скрывает</t>
  </si>
  <si>
    <t>Кого лучше ставить</t>
  </si>
  <si>
    <t>★ Что важно заполнить</t>
  </si>
  <si>
    <t>Родственник (кто это в жизни)</t>
  </si>
  <si>
    <t>ФИО в документах</t>
  </si>
  <si>
    <t>Возраст в игре</t>
  </si>
  <si>
    <t>Фирменные фразы и словечки</t>
  </si>
  <si>
    <t>Манера речи: темп, обращения, формальность</t>
  </si>
  <si>
    <t>Как пишет в мессенджере</t>
  </si>
  <si>
    <t>Жесты, привычки, внешние детали</t>
  </si>
  <si>
    <t>Семейные шутки и пасхалки</t>
  </si>
  <si>
    <t>Табу: что не трогать</t>
  </si>
  <si>
    <t>Готов сниматься?</t>
  </si>
  <si>
    <t>—</t>
  </si>
  <si>
    <t>ПРИМЕР</t>
  </si>
  <si>
    <t>Дядя Коля</t>
  </si>
  <si>
    <t>Смирнов Николай Петрович</t>
  </si>
  <si>
    <t>58</t>
  </si>
  <si>
    <t>«Ну это к бабке не ходи», «Разберёмся»</t>
  </si>
  <si>
    <t>Говорит медленно, всех зовёт по отчеству, любит паузы</t>
  </si>
  <si>
    <t>Только голосовые; если текстом — без точек и с «))»</t>
  </si>
  <si>
    <t>Звенит ключами, всё фотографирует на телефон, вечно в жилетке</t>
  </si>
  <si>
    <t>Каждое лето чинит одну и ту же лодку</t>
  </si>
  <si>
    <t>Не шутить про здоровье</t>
  </si>
  <si>
    <t>Да</t>
  </si>
  <si>
    <t>Иван Воронцов</t>
  </si>
  <si>
    <t>Жертва. Звезда театра, ведущий подпольных аукционов, владелец архива</t>
  </si>
  <si>
    <t>Ключевой</t>
  </si>
  <si>
    <t>Лучше мужчина (играет Арбенина); 45–65</t>
  </si>
  <si>
    <t>Харизматичный, гордый, привык к вниманию. Последний месяц нервный, оглядывается</t>
  </si>
  <si>
    <t>На сцене</t>
  </si>
  <si>
    <t>— (погиб). Говорит через переписку и письма</t>
  </si>
  <si>
    <t>Этап 3: переписка с Кириллом. Этап 4: облако — ультиматум Завьялову, обращение к тому, кто откроет архив. Развязка: письмо Марине</t>
  </si>
  <si>
    <t>Серьёзную астму; долю с аукционов наличными; архив и «мёртвую руку»; побег поездом в 23:40</t>
  </si>
  <si>
    <t>Артистичного, кому понравится «эффектно умереть» и сняться в образе</t>
  </si>
  <si>
    <t>Как пишет в мессенджере (переписки с Кириллом, Вольской, Завьяловым). Фото в образе Арбенина. Как обращается к Марине</t>
  </si>
  <si>
    <t>Юрий Завьялов</t>
  </si>
  <si>
    <t>Худрук. Организатор убийства, председатель фонда «Сцена»</t>
  </si>
  <si>
    <t>Любой; 50+, старше и главнее Волкова</t>
  </si>
  <si>
    <t>Властный, обаятельный на публике, холодный и расчётливый</t>
  </si>
  <si>
    <t>«Один в кабинете, работал с документами» — свидетелей нет</t>
  </si>
  <si>
    <t>Ссора в антракте «творческая, про бюджет декораций»; «уехал домой около десяти, сил не было»</t>
  </si>
  <si>
    <t>Показаний не меняет. Против него документы: рецепт Анаприлина, записка о камере, рабочий чат, смета, уход в 22:05</t>
  </si>
  <si>
    <t>Аукционы и отмыв через фонд; организацию убийства; выбросил телефон Воронцова с моста</t>
  </si>
  <si>
    <t>Самого властного и харизматичного — того, кого «и так все слушаются»</t>
  </si>
  <si>
    <t>Манера речи (опрос, рабочий чат). Как пишет в мессенджере (ультиматум в облаке). Что «его» стоит на столе для фото кабинета</t>
  </si>
  <si>
    <t>Артём Волков</t>
  </si>
  <si>
    <t>Дублёр Арбенина. Исполнитель: подменил таблетки, пытался войти в облако, забрал телефон</t>
  </si>
  <si>
    <t>Любой; на 15+ лет моложе Воронцова</t>
  </si>
  <si>
    <t>Обаятельный, услужливый, амбициозный, «вне подозрений». В долгах</t>
  </si>
  <si>
    <t>«На 3-м этаже, репетировал» — свидетелей нет, показывает видео</t>
  </si>
  <si>
    <t>С 18:00 на 3-м этаже «на случай форс-мажора»; спустился «на шум» около 21:05; показывает видео с телефона</t>
  </si>
  <si>
    <t>Показаний не меняет. Ломается на этапе 4: дата видео, показания Гнедич, вокзальная камера, лог входа с его телефона. Развязка: признание</t>
  </si>
  <si>
    <t>Долг, закрытый через «декорации»; подсмотренный пароль; подмену таблеток; попытку взлома; кражу телефона</t>
  </si>
  <si>
    <t>Самого милого и «безобидного», с чувством юмора — на кого подумают последним</t>
  </si>
  <si>
    <t>Видео «репетиции»: 40–60 с монолога Арбенина, днём у окна. Фразы для опроса и признания</t>
  </si>
  <si>
    <t>Марина Тарасова</t>
  </si>
  <si>
    <t>Супруг(а) Воронцова</t>
  </si>
  <si>
    <t>Партнёр того, кто играет Воронцова; близкий возраст</t>
  </si>
  <si>
    <t>Подавленная, закрытая, защищает память мужа</t>
  </si>
  <si>
    <t>Дома, говорила по телефону с сестрой — сестра подтверждает</t>
  </si>
  <si>
    <t>«Последний месяц был не в себе, оглядывался»; «сердце вроде не жаловался»</t>
  </si>
  <si>
    <t>Этап 2: признаёт астму, вскользь — «Седарин на ночь, ну или когда совсем нервничал». Этап 4: признаёт, что он уезжал</t>
  </si>
  <si>
    <t>Астму мужа; его побег (винит себя, что отпустила одного)</t>
  </si>
  <si>
    <t>Реального супруга того, кто играет Воронцова</t>
  </si>
  <si>
    <t>Манера речи (три опроса). Как называет мужа. Ей адресовано письмо в развязке</t>
  </si>
  <si>
    <t>Кирилл</t>
  </si>
  <si>
    <t>Старый друг, айтишник. Хранитель архива, анонимный звонивший</t>
  </si>
  <si>
    <t>Любой; ровесник Воронцова</t>
  </si>
  <si>
    <t>Умный, скрытный, тревожный</t>
  </si>
  <si>
    <t>Дома, один — не подтверждено (в театр не входил)</t>
  </si>
  <si>
    <t>В шоке, отвечает односложно: «много виделись, вспоминали молодость». Речевой привычки здесь нет</t>
  </si>
  <si>
    <t>Этап 3: облако, «мёртвая рука», уведомление о взломе в 19:41, переписка с Воронцовым. Конверт 4: записка с паролем к облаку</t>
  </si>
  <si>
    <t>Облако и архив; что знал о взломе ещё при жизни Воронцова; что звонил в полицию он</t>
  </si>
  <si>
    <t>Технически подкованного или самого скрытного</t>
  </si>
  <si>
    <t>РЕЧЕВАЯ ПРИВЫЧКА — улика (см. «Инструкцию»). Как пишет в мессенджере. Кто записывает голос для звонка</t>
  </si>
  <si>
    <t>Стас Лёвин</t>
  </si>
  <si>
    <t>Актёр (Звездич). Честный свидетель ссоры — точка опоры для игроков</t>
  </si>
  <si>
    <t>Второстепенный</t>
  </si>
  <si>
    <t>Любой; любой</t>
  </si>
  <si>
    <t>Болтливый, любит драму, но не врёт</t>
  </si>
  <si>
    <t>На сцене — подтверждено</t>
  </si>
  <si>
    <t>Слышал ссору через стену: «Тебе нужны только площади и деньги» — «Ты заигрался в моралиста, Ваня» — «Думаешь, я не знаю, что ты пытался сделать?»; «Ваня с этим своим баллончиком вечно прятался»</t>
  </si>
  <si>
    <t>Ничего</t>
  </si>
  <si>
    <t>Самого разговорчивого, любителя пересказывать</t>
  </si>
  <si>
    <t>Фирменные фразы и манера пересказа — его опрос самый длинный и живой</t>
  </si>
  <si>
    <t>Светлана Резникова</t>
  </si>
  <si>
    <t>Помощник режиссёра, ведёт журнал спектакля</t>
  </si>
  <si>
    <t>Педантичная, нервная, всё записывает</t>
  </si>
  <si>
    <t>За кулисами — подтверждено</t>
  </si>
  <si>
    <t>«Все были не в форме»; «Иван выходил не с той интонацией, во втором акте задыхался»</t>
  </si>
  <si>
    <t>Этап 3: в 20:25 видела, как он запивал таблетку, «руки тряслись после разговора с Юрием Викторовичем»</t>
  </si>
  <si>
    <t>Ничего — просто не придала значения</t>
  </si>
  <si>
    <t>Манера речи. Стиль коротких пометок для журнала помрежа</t>
  </si>
  <si>
    <t>Елена Гнедич</t>
  </si>
  <si>
    <t>Костюмер</t>
  </si>
  <si>
    <t>Ворчливая: «я не вахтёр»</t>
  </si>
  <si>
    <t>В костюмерке с двумя монтировщиками — подтверждено</t>
  </si>
  <si>
    <t>«Кто-то всё время бегал — рабочие, пресса, свои. Я не вахтёр»</t>
  </si>
  <si>
    <t>Этап 4: видела Волкова у гримёрки №4 в 21:08, «он шёл оттуда»</t>
  </si>
  <si>
    <t>Что видела Волкова — не хотела наговаривать на «хорошего мальчика»</t>
  </si>
  <si>
    <t>Главного ворчуна семьи</t>
  </si>
  <si>
    <t>Ворчливые фразы</t>
  </si>
  <si>
    <t>Виктор «Мастер»</t>
  </si>
  <si>
    <t>Осветитель. Его лог пульта даёт точное время остановки спектакля</t>
  </si>
  <si>
    <t>Немногословный профи</t>
  </si>
  <si>
    <t>В световой будке — подтверждено логом пульта</t>
  </si>
  <si>
    <t>«Стоял у пульта, ничего подозрительного»</t>
  </si>
  <si>
    <t>Этап 2: лог пульта — аварийная остановка в 21:02:31</t>
  </si>
  <si>
    <t>Молчаливого «технаря»</t>
  </si>
  <si>
    <t>1–2 фирменные фразы</t>
  </si>
  <si>
    <t>Олег Петрович</t>
  </si>
  <si>
    <t>Охранник служебного входа</t>
  </si>
  <si>
    <t>Любой; старше</t>
  </si>
  <si>
    <t>Упрямый, добродушный, боится увольнения</t>
  </si>
  <si>
    <t>Курил 19:35–19:50 — видно на внешней камере</t>
  </si>
  <si>
    <t>«Муха не пролетела, весь вечер на посту»</t>
  </si>
  <si>
    <t>Этап 2: после кадров камеры признаёт перекур, просит не говорить начальству</t>
  </si>
  <si>
    <t>Перекур</t>
  </si>
  <si>
    <t>Упёртого, но добродушного</t>
  </si>
  <si>
    <t>Фото «с камеры»: 6–8 кадров у двери с сигаретой (можно бутафорской)</t>
  </si>
  <si>
    <t>Инна</t>
  </si>
  <si>
    <t>Буфетчица. Ложный след</t>
  </si>
  <si>
    <t>Суетливая, невнимательная, любит красивое</t>
  </si>
  <si>
    <t>«Носила чай по гримёркам» — свидетелей нет</t>
  </si>
  <si>
    <t>Забирала чашки, «всё как обычно»</t>
  </si>
  <si>
    <t>Этап 2: пропажи из костюмерки (брошь, шаль, перчатки) и фото в броши в её соцсети</t>
  </si>
  <si>
    <t>Ворует из костюмерки</t>
  </si>
  <si>
    <t>Суетливого, вечно куда-то спешащего</t>
  </si>
  <si>
    <t>Фото в броши для соцсети. Стиль подписей к постам</t>
  </si>
  <si>
    <t>Дмитрий</t>
  </si>
  <si>
    <t>Водитель Воронцова</t>
  </si>
  <si>
    <t>Простой, преданный Воронцову</t>
  </si>
  <si>
    <t>В машине у служебного входа — видно на внешней камере</t>
  </si>
  <si>
    <t>«Сказал: жди у заднего входа в 22:00, ни секундой позже, мотор не глуши»</t>
  </si>
  <si>
    <t>Этап 3: признаёт чемодан и вокзал; молчал, потому что Воронцов просил</t>
  </si>
  <si>
    <t>Побег Воронцова</t>
  </si>
  <si>
    <t>Надёжного, немногословного</t>
  </si>
  <si>
    <t>Фирменные фразы</t>
  </si>
  <si>
    <t>Софья Вольская</t>
  </si>
  <si>
    <t>Меценат. Ложный след, ведущий к аукционам</t>
  </si>
  <si>
    <t>Любой; 40+</t>
  </si>
  <si>
    <t>Светская, уверенная, привыкла получать своё</t>
  </si>
  <si>
    <t>В ложе №2 с подругой — подтверждено</t>
  </si>
  <si>
    <t>«Хотела поговорить по личному делу», искала его в 18:20, не поймала</t>
  </si>
  <si>
    <t>Этап 4: переписка с Воронцовым, письмо эксперта о подделке, строка в реестре облака</t>
  </si>
  <si>
    <t>Купила на «Закрытом вечере» поддельную табакерку за 2,4 млн ₽</t>
  </si>
  <si>
    <t>Самого элегантного и светского</t>
  </si>
  <si>
    <t>Как пишет в мессенджере (переписка с Воронцовым)</t>
  </si>
  <si>
    <t>Михаил Громов</t>
  </si>
  <si>
    <t>Чиновник. Ложный след</t>
  </si>
  <si>
    <t>Любой; 45+</t>
  </si>
  <si>
    <t>Хамоватый: «Вы знаете, кто я?»</t>
  </si>
  <si>
    <t>В ложе №1 с охраной — подтверждено</t>
  </si>
  <si>
    <t>Хамит, требует «не портить имидж культурной столицы»; почему уходил — «не ваше дело»</t>
  </si>
  <si>
    <t>Бонусные вопросы: пост «на совещании в Северогорске» в 19:30, справка пресс-службы</t>
  </si>
  <si>
    <t>Прогулял официальное совещание ради премьеры</t>
  </si>
  <si>
    <t>Самого громкого, любящего покомандовать</t>
  </si>
  <si>
    <t>Фото «на совещании». Стиль официальных постов</t>
  </si>
  <si>
    <t>Сержант Ковалёв</t>
  </si>
  <si>
    <t>Автор рапорта о Громове</t>
  </si>
  <si>
    <t>Служебный</t>
  </si>
  <si>
    <t>Старательный, канцелярский язык</t>
  </si>
  <si>
    <t>Неиграющего родственника или кого угодно</t>
  </si>
  <si>
    <t>Только ФИО</t>
  </si>
  <si>
    <t>Судмедэксперт</t>
  </si>
  <si>
    <t>Автор заключения и экспертиз</t>
  </si>
  <si>
    <t>Сухой, педантичный</t>
  </si>
  <si>
    <t>Автор экспертиз этапов 2–4</t>
  </si>
  <si>
    <t>Майор Беляев</t>
  </si>
  <si>
    <t>Руководитель. Рассказчик: вводные письма к каждому этапу</t>
  </si>
  <si>
    <t>Строгий, ироничный</t>
  </si>
  <si>
    <t>Пишет вводные к этапам</t>
  </si>
  <si>
    <t>Тебя — ты знаешь разгадку и не играешь</t>
  </si>
  <si>
    <t>ФИО. Можно фирменные фразы для вводных писем</t>
  </si>
  <si>
    <t>Ролей заполнено:</t>
  </si>
  <si>
    <t>Ключевых заполнено:</t>
  </si>
  <si>
    <t>Роль</t>
  </si>
  <si>
    <t>Родственник</t>
  </si>
  <si>
    <t>Портрет</t>
  </si>
  <si>
    <t>Фото в образе или сцене</t>
  </si>
  <si>
    <t>Видео</t>
  </si>
  <si>
    <t>Голос (аудио)</t>
  </si>
  <si>
    <t>Первый опрос</t>
  </si>
  <si>
    <t>Повторный опрос</t>
  </si>
  <si>
    <t>Переписка или чат</t>
  </si>
  <si>
    <t>Соцсеть</t>
  </si>
  <si>
    <t>Задач</t>
  </si>
  <si>
    <t>●</t>
  </si>
  <si>
    <t>Арбенин; у кассы вокзала</t>
  </si>
  <si>
    <t>С Кириллом, Вольской, Завьяловым; письмо Марине</t>
  </si>
  <si>
    <t>Свой кабинет (вещи на столе)</t>
  </si>
  <si>
    <t>Рабочий чат; ультиматум</t>
  </si>
  <si>
    <t>Вокзал, у колонны</t>
  </si>
  <si>
    <t>Монолог 40–60 с</t>
  </si>
  <si>
    <t>Признание (развязка)</t>
  </si>
  <si>
    <t>Рабочий чат</t>
  </si>
  <si>
    <t>Этапы 2 и 4</t>
  </si>
  <si>
    <t>Анонимный звонок (или другой голос)</t>
  </si>
  <si>
    <t>Этап 3</t>
  </si>
  <si>
    <t>С Воронцовым</t>
  </si>
  <si>
    <t>Этап 4</t>
  </si>
  <si>
    <t>Кадры камеры у двери</t>
  </si>
  <si>
    <t>Этап 2</t>
  </si>
  <si>
    <t>В броши</t>
  </si>
  <si>
    <t>Профиль, 6–8 постов</t>
  </si>
  <si>
    <t>За рулём (кадры камеры)</t>
  </si>
  <si>
    <t>На «совещании»</t>
  </si>
  <si>
    <t>Профиль, 8–10 постов</t>
  </si>
  <si>
    <t>Всего</t>
  </si>
  <si>
    <t>● — нужно обязательно. Текст в ячейке — что именно. Опросы пишу я по фразам из листа «Персонажи», от родственника нужны только фразы и манера.</t>
  </si>
  <si>
    <t>Кто</t>
  </si>
  <si>
    <t>Где упоминается</t>
  </si>
  <si>
    <t>Имя (заполни)</t>
  </si>
  <si>
    <t>Можно родственника?</t>
  </si>
  <si>
    <t>Исполнительница роли Нины</t>
  </si>
  <si>
    <t>Программка «Маскарада» (1-07)</t>
  </si>
  <si>
    <t>Подруга Вольской в ложе №2</t>
  </si>
  <si>
    <t>Алиби Вольской, её опрос</t>
  </si>
  <si>
    <t>Монтировщик 1</t>
  </si>
  <si>
    <t>Алиби Гнедич</t>
  </si>
  <si>
    <t>Монтировщик 2</t>
  </si>
  <si>
    <t>Сестра Марины</t>
  </si>
  <si>
    <t>Алиби Марины (телефонный разговор)</t>
  </si>
  <si>
    <t>Врач скорой</t>
  </si>
  <si>
    <t>Карта вызова (1-03)</t>
  </si>
  <si>
    <t>Завхоз театра</t>
  </si>
  <si>
    <t>Адресат записки о камере (4-05)</t>
  </si>
  <si>
    <t>Пресс-секретарь Громова</t>
  </si>
  <si>
    <t>Справка пресс-службы (2-10)</t>
  </si>
  <si>
    <t>Г. Родионов, директор ООО «Сценическая мастерская»</t>
  </si>
  <si>
    <t>Выписка по ООО (4-03)</t>
  </si>
  <si>
    <t>Лучше вымышленное</t>
  </si>
  <si>
    <t>Брат Родионова, кредитор Волкова</t>
  </si>
  <si>
    <t>Эксперт, оценивший табакерку</t>
  </si>
  <si>
    <t>Письмо эксперта (4-11)</t>
  </si>
  <si>
    <t>Охранник Громова</t>
  </si>
  <si>
    <t>Алиби Громова, рапорт</t>
  </si>
  <si>
    <t>Когда</t>
  </si>
  <si>
    <t>Что произошло</t>
  </si>
  <si>
    <t>Какой след остался</t>
  </si>
  <si>
    <t>Сентябрь 2026</t>
  </si>
  <si>
    <t>Ультиматум Воронцова Завьялову. Воронцов проговаривается про ежедневное подтверждение страховки</t>
  </si>
  <si>
    <t>Переписка в облаке</t>
  </si>
  <si>
    <t>~15 октября</t>
  </si>
  <si>
    <t>Эксперт сообщает Вольской, что табакерка — подделка</t>
  </si>
  <si>
    <t>Письмо эксперта 4-11</t>
  </si>
  <si>
    <t>20 октября</t>
  </si>
  <si>
    <t>Вольская пишет Воронцову. Он отвечает «Поговорим после премьеры»</t>
  </si>
  <si>
    <t>Переписка 4-12</t>
  </si>
  <si>
    <t>~20 октября</t>
  </si>
  <si>
    <t>Кирилл настраивает облако и «мёртвую руку», отключает восстановление по SMS</t>
  </si>
  <si>
    <t>Переписка Кирилла и Воронцова</t>
  </si>
  <si>
    <t>Конец октября</t>
  </si>
  <si>
    <t>На репетиции Воронцов подтверждает страховку с телефона, Волков подсматривает пароль</t>
  </si>
  <si>
    <t>Переписка 4 ноября</t>
  </si>
  <si>
    <t>30 октября, 14:37</t>
  </si>
  <si>
    <t>Воронцов покупает билет в кассе №2 за наличные. Волков, следящий за ним, стоит у колонны</t>
  </si>
  <si>
    <t>Билет 3-07, вокзальная камера 4-08</t>
  </si>
  <si>
    <t>3 ноября</t>
  </si>
  <si>
    <t>Завьялов запрещает чинить камеру в коридоре гримёрок; оплата договора с ООО «Сценическая мастерская»</t>
  </si>
  <si>
    <t>Записка 4-05, договор 4-02</t>
  </si>
  <si>
    <t>4 ноября</t>
  </si>
  <si>
    <t>Кирилл: «Ты вводил пароль при людях на репетиции, смени». Воронцов меняет пароль</t>
  </si>
  <si>
    <t>Переписка в 3-03</t>
  </si>
  <si>
    <t>7 ноября</t>
  </si>
  <si>
    <t>Завьялов ставит Волкова «дежурить» на 3-м этаже во время премьеры</t>
  </si>
  <si>
    <t>Рабочий чат 4-06</t>
  </si>
  <si>
    <t>8 ноября, 14:12</t>
  </si>
  <si>
    <t>Волков записывает видео «репетиции» днём</t>
  </si>
  <si>
    <t>Метаданные, дневной свет</t>
  </si>
  <si>
    <t>8 ноября</t>
  </si>
  <si>
    <t>Завьялов покупает Анаприлин на 2 недели раньше обычного</t>
  </si>
  <si>
    <t>Аптечная выписка 4-04</t>
  </si>
  <si>
    <t>10.11, 17:25</t>
  </si>
  <si>
    <t>Дмитрий забирает Воронцова, чемодан в багажнике. «Жди в 22:00, мотор не глуши»</t>
  </si>
  <si>
    <t>17:40</t>
  </si>
  <si>
    <t>Воронцов проходит служебный вход</t>
  </si>
  <si>
    <t>Журнал охраны</t>
  </si>
  <si>
    <t>18:02</t>
  </si>
  <si>
    <t>Волков проходит служебный вход, поднимается на 3-й этаж</t>
  </si>
  <si>
    <t>18:20</t>
  </si>
  <si>
    <t>Вольская ищет Воронцова, он избегает её</t>
  </si>
  <si>
    <t>Вольская, Гнедич</t>
  </si>
  <si>
    <t>19:00</t>
  </si>
  <si>
    <t>1-й акт</t>
  </si>
  <si>
    <t>Журнал помрежа</t>
  </si>
  <si>
    <t>19:35–19:39</t>
  </si>
  <si>
    <t>Олег курит. Волков спускается и меняет Седарин на Анаприлин в отделениях ВТ, СР, ЧТ</t>
  </si>
  <si>
    <t>Внешняя камера</t>
  </si>
  <si>
    <t>19:40</t>
  </si>
  <si>
    <t>Волков входит в облако по подсмотренному паролю: 3 неудачи, пароль сменён 4.11; SMS-восстановление отклонено</t>
  </si>
  <si>
    <t>Лог облака 3-03</t>
  </si>
  <si>
    <t>19:41–19:55</t>
  </si>
  <si>
    <t>Кириллу приходит уведомление. Он дважды звонит Воронцову и пишет «Кто-то из театра лезет в облако»</t>
  </si>
  <si>
    <t>Телефон Кирилла 3-03</t>
  </si>
  <si>
    <t>19:50</t>
  </si>
  <si>
    <t>Олег возвращается на пост</t>
  </si>
  <si>
    <t>~19:52</t>
  </si>
  <si>
    <t>Волков сообщает Завьялову, что не вышло</t>
  </si>
  <si>
    <t>20:10</t>
  </si>
  <si>
    <t>Антракт. Воронцов читает сообщение Кирилла</t>
  </si>
  <si>
    <t>20:12–20:22</t>
  </si>
  <si>
    <t>Завьялов в гримёрке №4 предлагает деньги за отключение страховки. Ссора</t>
  </si>
  <si>
    <t>Стас за стеной</t>
  </si>
  <si>
    <t>20:25</t>
  </si>
  <si>
    <t>Резникова зовёт «пять минут». Воронцов запивает таблетку из отделения ВТ</t>
  </si>
  <si>
    <t>Резникова (повторный опрос)</t>
  </si>
  <si>
    <t>20:30</t>
  </si>
  <si>
    <t>2-й акт</t>
  </si>
  <si>
    <t>~20:50</t>
  </si>
  <si>
    <t>Одышка, ингалятор не помогает</t>
  </si>
  <si>
    <t>Резникова</t>
  </si>
  <si>
    <t>21:02</t>
  </si>
  <si>
    <t>Воронцов падает на сцене</t>
  </si>
  <si>
    <t>Лог светового пульта</t>
  </si>
  <si>
    <t>21:04</t>
  </si>
  <si>
    <t>Вызов скорой</t>
  </si>
  <si>
    <t>Карта вызова</t>
  </si>
  <si>
    <t>21:08</t>
  </si>
  <si>
    <t>Волков в гримёрке №4: возвращает Седарин в СР, забывает ЧТ, забирает телефон</t>
  </si>
  <si>
    <t>Гнедич</t>
  </si>
  <si>
    <t>21:11 / 21:14</t>
  </si>
  <si>
    <t>Скорая прибывает / прибывает наряд полиции</t>
  </si>
  <si>
    <t>Карта вызова, рапорт</t>
  </si>
  <si>
    <t>21:18</t>
  </si>
  <si>
    <t>Констатация смерти</t>
  </si>
  <si>
    <t>21:20</t>
  </si>
  <si>
    <t>Громов пытается уйти через ложи</t>
  </si>
  <si>
    <t>Рапорт сержанта</t>
  </si>
  <si>
    <t>21:25</t>
  </si>
  <si>
    <t>Марина звонит Кириллу, он понимает, что это убийство</t>
  </si>
  <si>
    <t>21:50</t>
  </si>
  <si>
    <t>Волков отдаёт телефон Воронцова Завьялову</t>
  </si>
  <si>
    <t>22:00</t>
  </si>
  <si>
    <t>Дмитрий ждёт, Воронцов не выходит</t>
  </si>
  <si>
    <t>22:05</t>
  </si>
  <si>
    <t>Завьялов уходит через служебный вход</t>
  </si>
  <si>
    <t>22:15</t>
  </si>
  <si>
    <t>Завьялов выбрасывает телефон с Речного моста</t>
  </si>
  <si>
    <t>Данные оператора 4-10</t>
  </si>
  <si>
    <t>23:10</t>
  </si>
  <si>
    <t>Волков уходит из театра</t>
  </si>
  <si>
    <t>11.11, 07:50</t>
  </si>
  <si>
    <t>Анонимный звонок Кирилла в дежурную часть</t>
  </si>
  <si>
    <t>Запись 1-05</t>
  </si>
  <si>
    <t>12.11, утро</t>
  </si>
  <si>
    <t>Игроки получают материалы проверки</t>
  </si>
  <si>
    <t>Вводное письмо 1-01</t>
  </si>
  <si>
    <t>я</t>
  </si>
  <si>
    <t>Молдованов Артем Сергеевич</t>
  </si>
  <si>
    <t>в жизни мне 20, в игре все равно как поставить</t>
  </si>
  <si>
    <t xml:space="preserve">со скобками пишет)) любит новые абзацы часто ставить, использует улыбающийся смайл во все зубы, плачущий сильно смайл тоже (могу потом прислать скрины, для всех остальных тоже) </t>
  </si>
  <si>
    <t>в очках всегда с прозрачной оправой, густые брови</t>
  </si>
  <si>
    <t>пофиг</t>
  </si>
  <si>
    <t>над бровями шутят, что якобы "Брежнев"))</t>
  </si>
  <si>
    <t>я хочу сгенерировать все видео, фото и тп (подскажи как лучше это сделать)</t>
  </si>
  <si>
    <t>мой дедушка</t>
  </si>
  <si>
    <t>мой дядя</t>
  </si>
  <si>
    <t>Тарасов Николай (отчество забыл, потом заполню)</t>
  </si>
  <si>
    <t>моя двоюродная сестра</t>
  </si>
  <si>
    <t>моя сестра</t>
  </si>
  <si>
    <t>моя тетя</t>
  </si>
  <si>
    <t>муж сестры</t>
  </si>
  <si>
    <t xml:space="preserve">Блинов Вячеслав </t>
  </si>
  <si>
    <t>в жизни 32</t>
  </si>
  <si>
    <t>в жизни 28</t>
  </si>
  <si>
    <t>Заметки</t>
  </si>
  <si>
    <t>Если человек сильно моложе или старее (10-15 лет хотя бы) то можно будет с нейронкой омолодить/состарить его</t>
  </si>
  <si>
    <t>Горенкова Алина Александровна</t>
  </si>
  <si>
    <t>Горенков Александр Сергеевич</t>
  </si>
  <si>
    <t>в жизни 48</t>
  </si>
  <si>
    <t>69 в жизни</t>
  </si>
  <si>
    <t>в жизни 15</t>
  </si>
  <si>
    <t>брат моей тети</t>
  </si>
  <si>
    <t>Тарасов Сергей Николаевич</t>
  </si>
  <si>
    <t>в жизни 39</t>
  </si>
  <si>
    <t>мама моя</t>
  </si>
  <si>
    <t>Молдованова Наталья Срегеевна</t>
  </si>
  <si>
    <t>в жизни 51</t>
  </si>
  <si>
    <t>бабушка</t>
  </si>
  <si>
    <t>Тарасова Галина ..</t>
  </si>
  <si>
    <t>в жизни 68</t>
  </si>
  <si>
    <t>мужчина моей мамы</t>
  </si>
  <si>
    <t>Лемонов Алексей</t>
  </si>
  <si>
    <t>мама мужа моей сестры</t>
  </si>
  <si>
    <t>Авдеенко Светлана</t>
  </si>
  <si>
    <t>двоюродный брат</t>
  </si>
  <si>
    <t>Горенков Антон Александрович</t>
  </si>
  <si>
    <t>в жизни 25</t>
  </si>
  <si>
    <t>Блинова Юлия Сергеевна</t>
  </si>
  <si>
    <t>Горенкова Светлана Николаевна</t>
  </si>
  <si>
    <t>Авдеенко Михаил</t>
  </si>
  <si>
    <t>жена брата моей тети</t>
  </si>
  <si>
    <t>Тарасова Ксения</t>
  </si>
  <si>
    <t xml:space="preserve">поставь любое имя </t>
  </si>
  <si>
    <t>я лучше буду жертвой (не хочу никого убивать)</t>
  </si>
  <si>
    <t>отчим мужа моей сестры (можешь поставить на любого из служебных)</t>
  </si>
  <si>
    <t>в жизни 40</t>
  </si>
  <si>
    <t>в жизни 46</t>
  </si>
  <si>
    <t>сдержаный, хорошо поставлена речь</t>
  </si>
  <si>
    <t>доюродушный, улыбается часто, говорит достаточно быстро, вежливый</t>
  </si>
  <si>
    <t>ставит точки в конце предложения, начинает нове с той же строчки, использует смайлы (ОК жест рукой, смайл молитвы, иногда здоровается смайлом "машущая рука")</t>
  </si>
  <si>
    <t>много работает и из-за этого не попадает на семейные посиделки, шутят над его женой: даже не буду спрашивать, где славик, он все деньги мира пытается заработать</t>
  </si>
  <si>
    <t>я соберу скрины переписок, чтобы ты понимал как общаются люди, подскажи как лучше тебе это преподнести?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</si>
</sst>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i/>
      <sz val="10"/>
      <color rgb="FF595959"/>
      <name val="Arial"/>
      <charset val="1"/>
    </font>
    <font>
      <sz val="11"/>
      <name val="Arial"/>
      <charset val="1"/>
    </font>
    <font>
      <b/>
      <sz val="12"/>
      <color rgb="FF1F3864"/>
      <name val="Arial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0"/>
      <color rgb="FFC00000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BF8F00"/>
        <bgColor rgb="FF808000"/>
      </patternFill>
    </fill>
    <fill>
      <patternFill patternType="solid">
        <fgColor rgb="FFEDEDED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F2F2F2"/>
        <bgColor rgb="FFEDEDED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1" xfId="0" applyFont="1" applyBorder="1" applyAlignment="1">
      <alignment vertical="top" wrapText="1"/>
    </xf>
    <xf numFmtId="0" fontId="5" fillId="3" borderId="0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6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top" wrapText="1"/>
    </xf>
    <xf numFmtId="0" fontId="7" fillId="5" borderId="1" xfId="0" applyFont="1" applyFill="1" applyBorder="1" applyAlignment="1">
      <alignment vertical="top" wrapText="1"/>
    </xf>
    <xf numFmtId="0" fontId="8" fillId="5" borderId="1" xfId="0" applyFont="1" applyFill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7" fillId="6" borderId="1" xfId="0" applyFont="1" applyFill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7" fillId="7" borderId="1" xfId="0" applyFont="1" applyFill="1" applyBorder="1" applyAlignment="1">
      <alignment vertical="top" wrapText="1"/>
    </xf>
    <xf numFmtId="0" fontId="8" fillId="7" borderId="1" xfId="0" applyFont="1" applyFill="1" applyBorder="1" applyAlignment="1">
      <alignment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vertical="top" wrapText="1"/>
    </xf>
    <xf numFmtId="0" fontId="7" fillId="6" borderId="2" xfId="0" applyFont="1" applyFill="1" applyBorder="1" applyAlignment="1">
      <alignment vertical="top" wrapText="1"/>
    </xf>
  </cellXfs>
  <cellStyles count="1">
    <cellStyle name="Обычный" xfId="0" builtinId="0"/>
  </cellStyles>
  <dxfs count="1">
    <dxf>
      <fill>
        <patternFill>
          <bgColor rgb="FFF4B6B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CFFCC"/>
      <rgbColor rgb="FFFCE4D6"/>
      <rgbColor rgb="FF99CCFF"/>
      <rgbColor rgb="FFFF99CC"/>
      <rgbColor rgb="FFCC99FF"/>
      <rgbColor rgb="FFF4B6B6"/>
      <rgbColor rgb="FF3366FF"/>
      <rgbColor rgb="FF33CCCC"/>
      <rgbColor rgb="FF99CC00"/>
      <rgbColor rgb="FFFFCC00"/>
      <rgbColor rgb="FFBF8F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6"/>
  <sheetViews>
    <sheetView zoomScaleNormal="100" workbookViewId="0"/>
  </sheetViews>
  <sheetFormatPr defaultColWidth="8.6640625" defaultRowHeight="14.25" x14ac:dyDescent="0.45"/>
  <cols>
    <col min="1" max="1" width="115" customWidth="1"/>
  </cols>
  <sheetData>
    <row r="1" spans="1:1" ht="20.65" x14ac:dyDescent="0.45">
      <c r="A1" s="4" t="s">
        <v>0</v>
      </c>
    </row>
    <row r="2" spans="1:1" x14ac:dyDescent="0.45">
      <c r="A2" s="5" t="s">
        <v>1</v>
      </c>
    </row>
    <row r="3" spans="1:1" x14ac:dyDescent="0.45">
      <c r="A3" s="6"/>
    </row>
    <row r="4" spans="1:1" ht="15" x14ac:dyDescent="0.45">
      <c r="A4" s="7" t="s">
        <v>2</v>
      </c>
    </row>
    <row r="5" spans="1:1" x14ac:dyDescent="0.45">
      <c r="A5" s="6" t="s">
        <v>3</v>
      </c>
    </row>
    <row r="6" spans="1:1" x14ac:dyDescent="0.45">
      <c r="A6" s="6" t="s">
        <v>4</v>
      </c>
    </row>
    <row r="7" spans="1:1" x14ac:dyDescent="0.45">
      <c r="A7" s="6" t="s">
        <v>5</v>
      </c>
    </row>
    <row r="8" spans="1:1" ht="27" x14ac:dyDescent="0.45">
      <c r="A8" s="6" t="s">
        <v>6</v>
      </c>
    </row>
    <row r="9" spans="1:1" x14ac:dyDescent="0.45">
      <c r="A9" s="6"/>
    </row>
    <row r="10" spans="1:1" ht="15" x14ac:dyDescent="0.45">
      <c r="A10" s="7" t="s">
        <v>7</v>
      </c>
    </row>
    <row r="11" spans="1:1" x14ac:dyDescent="0.45">
      <c r="A11" s="6" t="s">
        <v>8</v>
      </c>
    </row>
    <row r="12" spans="1:1" ht="27" x14ac:dyDescent="0.45">
      <c r="A12" s="6" t="s">
        <v>9</v>
      </c>
    </row>
    <row r="13" spans="1:1" ht="27" x14ac:dyDescent="0.45">
      <c r="A13" s="6" t="s">
        <v>10</v>
      </c>
    </row>
    <row r="14" spans="1:1" x14ac:dyDescent="0.45">
      <c r="A14" s="6" t="s">
        <v>11</v>
      </c>
    </row>
    <row r="15" spans="1:1" x14ac:dyDescent="0.45">
      <c r="A15" s="6"/>
    </row>
    <row r="16" spans="1:1" ht="15" x14ac:dyDescent="0.45">
      <c r="A16" s="7" t="s">
        <v>12</v>
      </c>
    </row>
    <row r="17" spans="1:1" x14ac:dyDescent="0.45">
      <c r="A17" s="6" t="s">
        <v>13</v>
      </c>
    </row>
    <row r="18" spans="1:1" ht="27" x14ac:dyDescent="0.45">
      <c r="A18" s="6" t="s">
        <v>14</v>
      </c>
    </row>
    <row r="19" spans="1:1" ht="27" x14ac:dyDescent="0.45">
      <c r="A19" s="6" t="s">
        <v>15</v>
      </c>
    </row>
    <row r="20" spans="1:1" x14ac:dyDescent="0.45">
      <c r="A20" s="6" t="s">
        <v>16</v>
      </c>
    </row>
    <row r="21" spans="1:1" x14ac:dyDescent="0.45">
      <c r="A21" s="6"/>
    </row>
    <row r="22" spans="1:1" ht="15" x14ac:dyDescent="0.45">
      <c r="A22" s="7" t="s">
        <v>17</v>
      </c>
    </row>
    <row r="23" spans="1:1" x14ac:dyDescent="0.45">
      <c r="A23" s="6" t="s">
        <v>18</v>
      </c>
    </row>
    <row r="24" spans="1:1" x14ac:dyDescent="0.45">
      <c r="A24" s="6" t="s">
        <v>19</v>
      </c>
    </row>
    <row r="25" spans="1:1" x14ac:dyDescent="0.45">
      <c r="A25" s="6"/>
    </row>
    <row r="26" spans="1:1" ht="15" x14ac:dyDescent="0.45">
      <c r="A26" s="7" t="s">
        <v>20</v>
      </c>
    </row>
    <row r="27" spans="1:1" ht="27" x14ac:dyDescent="0.45">
      <c r="A27" s="6" t="s">
        <v>21</v>
      </c>
    </row>
    <row r="28" spans="1:1" ht="27" x14ac:dyDescent="0.45">
      <c r="A28" s="6" t="s">
        <v>22</v>
      </c>
    </row>
    <row r="29" spans="1:1" x14ac:dyDescent="0.45">
      <c r="A29" s="6"/>
    </row>
    <row r="30" spans="1:1" ht="15" x14ac:dyDescent="0.45">
      <c r="A30" s="7" t="s">
        <v>23</v>
      </c>
    </row>
    <row r="31" spans="1:1" ht="27" x14ac:dyDescent="0.45">
      <c r="A31" s="6" t="s">
        <v>24</v>
      </c>
    </row>
    <row r="32" spans="1:1" x14ac:dyDescent="0.45">
      <c r="A32" s="6" t="s">
        <v>25</v>
      </c>
    </row>
    <row r="33" spans="1:1" x14ac:dyDescent="0.45">
      <c r="A33" s="6" t="s">
        <v>26</v>
      </c>
    </row>
    <row r="34" spans="1:1" x14ac:dyDescent="0.45">
      <c r="A34" s="6"/>
    </row>
    <row r="35" spans="1:1" ht="15" x14ac:dyDescent="0.45">
      <c r="A35" s="7" t="s">
        <v>27</v>
      </c>
    </row>
    <row r="36" spans="1:1" ht="27" x14ac:dyDescent="0.45">
      <c r="A36" s="6" t="s">
        <v>28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3"/>
  <sheetViews>
    <sheetView tabSelected="1" zoomScale="85" zoomScaleNormal="85" workbookViewId="0">
      <pane xSplit="2" ySplit="2" topLeftCell="K3" activePane="bottomRight" state="frozen"/>
      <selection pane="topRight" activeCell="C1" sqref="C1"/>
      <selection pane="bottomLeft" activeCell="A3" sqref="A3"/>
      <selection pane="bottomRight" activeCell="Q8" sqref="Q8"/>
    </sheetView>
  </sheetViews>
  <sheetFormatPr defaultColWidth="8.6640625" defaultRowHeight="14.25" x14ac:dyDescent="0.45"/>
  <cols>
    <col min="1" max="1" width="4" customWidth="1"/>
    <col min="2" max="2" width="18" customWidth="1"/>
    <col min="3" max="3" width="26" customWidth="1"/>
    <col min="4" max="4" width="13" customWidth="1"/>
    <col min="5" max="5" width="18" customWidth="1"/>
    <col min="6" max="6" width="26" customWidth="1"/>
    <col min="7" max="7" width="24" customWidth="1"/>
    <col min="8" max="8" width="34" customWidth="1"/>
    <col min="9" max="9" width="36" customWidth="1"/>
    <col min="10" max="10" width="30" customWidth="1"/>
    <col min="11" max="11" width="24" customWidth="1"/>
    <col min="12" max="12" width="32" customWidth="1"/>
    <col min="13" max="13" width="20" customWidth="1"/>
    <col min="14" max="14" width="24" customWidth="1"/>
    <col min="15" max="15" width="9" customWidth="1"/>
    <col min="16" max="16" width="30" customWidth="1"/>
    <col min="17" max="19" width="28" customWidth="1"/>
    <col min="20" max="20" width="26" customWidth="1"/>
    <col min="21" max="21" width="22" customWidth="1"/>
    <col min="22" max="22" width="11" customWidth="1"/>
  </cols>
  <sheetData>
    <row r="1" spans="1:23" ht="21.75" customHeight="1" x14ac:dyDescent="0.45">
      <c r="A1" s="3" t="s">
        <v>29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2" t="s">
        <v>30</v>
      </c>
      <c r="N1" s="2"/>
      <c r="O1" s="2"/>
      <c r="P1" s="2"/>
      <c r="Q1" s="2"/>
      <c r="R1" s="2"/>
      <c r="S1" s="2"/>
      <c r="T1" s="2"/>
      <c r="U1" s="2"/>
      <c r="V1" s="2"/>
    </row>
    <row r="2" spans="1:23" ht="42" customHeight="1" x14ac:dyDescent="0.45">
      <c r="A2" s="8" t="s">
        <v>31</v>
      </c>
      <c r="B2" s="8" t="s">
        <v>32</v>
      </c>
      <c r="C2" s="8" t="s">
        <v>33</v>
      </c>
      <c r="D2" s="8" t="s">
        <v>34</v>
      </c>
      <c r="E2" s="8" t="s">
        <v>35</v>
      </c>
      <c r="F2" s="8" t="s">
        <v>36</v>
      </c>
      <c r="G2" s="8" t="s">
        <v>37</v>
      </c>
      <c r="H2" s="8" t="s">
        <v>38</v>
      </c>
      <c r="I2" s="8" t="s">
        <v>39</v>
      </c>
      <c r="J2" s="8" t="s">
        <v>40</v>
      </c>
      <c r="K2" s="8" t="s">
        <v>41</v>
      </c>
      <c r="L2" s="8" t="s">
        <v>42</v>
      </c>
      <c r="M2" s="9" t="s">
        <v>43</v>
      </c>
      <c r="N2" s="9" t="s">
        <v>44</v>
      </c>
      <c r="O2" s="9" t="s">
        <v>45</v>
      </c>
      <c r="P2" s="9" t="s">
        <v>46</v>
      </c>
      <c r="Q2" s="9" t="s">
        <v>47</v>
      </c>
      <c r="R2" s="9" t="s">
        <v>48</v>
      </c>
      <c r="S2" s="9" t="s">
        <v>49</v>
      </c>
      <c r="T2" s="9" t="s">
        <v>50</v>
      </c>
      <c r="U2" s="9" t="s">
        <v>51</v>
      </c>
      <c r="V2" s="9" t="s">
        <v>52</v>
      </c>
      <c r="W2" s="23" t="s">
        <v>407</v>
      </c>
    </row>
    <row r="3" spans="1:23" ht="229.5" x14ac:dyDescent="0.45">
      <c r="A3" s="10" t="s">
        <v>53</v>
      </c>
      <c r="B3" s="10" t="s">
        <v>54</v>
      </c>
      <c r="C3" s="10" t="s">
        <v>53</v>
      </c>
      <c r="D3" s="10" t="s">
        <v>53</v>
      </c>
      <c r="E3" s="10" t="s">
        <v>53</v>
      </c>
      <c r="F3" s="10" t="s">
        <v>53</v>
      </c>
      <c r="G3" s="10" t="s">
        <v>53</v>
      </c>
      <c r="H3" s="10" t="s">
        <v>53</v>
      </c>
      <c r="I3" s="10" t="s">
        <v>53</v>
      </c>
      <c r="J3" s="10" t="s">
        <v>53</v>
      </c>
      <c r="K3" s="10" t="s">
        <v>53</v>
      </c>
      <c r="L3" s="10" t="s">
        <v>53</v>
      </c>
      <c r="M3" s="10" t="s">
        <v>55</v>
      </c>
      <c r="N3" s="10" t="s">
        <v>56</v>
      </c>
      <c r="O3" s="10" t="s">
        <v>57</v>
      </c>
      <c r="P3" s="10" t="s">
        <v>58</v>
      </c>
      <c r="Q3" s="10" t="s">
        <v>59</v>
      </c>
      <c r="R3" s="10" t="s">
        <v>60</v>
      </c>
      <c r="S3" s="10" t="s">
        <v>61</v>
      </c>
      <c r="T3" s="10" t="s">
        <v>62</v>
      </c>
      <c r="U3" s="10" t="s">
        <v>63</v>
      </c>
      <c r="V3" s="10" t="s">
        <v>64</v>
      </c>
      <c r="W3" s="24" t="s">
        <v>408</v>
      </c>
    </row>
    <row r="4" spans="1:23" ht="191.25" x14ac:dyDescent="0.45">
      <c r="A4" s="11">
        <v>1</v>
      </c>
      <c r="B4" s="12" t="s">
        <v>65</v>
      </c>
      <c r="C4" s="11" t="s">
        <v>66</v>
      </c>
      <c r="D4" s="11" t="s">
        <v>67</v>
      </c>
      <c r="E4" s="13" t="s">
        <v>68</v>
      </c>
      <c r="F4" s="13" t="s">
        <v>69</v>
      </c>
      <c r="G4" s="13" t="s">
        <v>70</v>
      </c>
      <c r="H4" s="13" t="s">
        <v>71</v>
      </c>
      <c r="I4" s="13" t="s">
        <v>72</v>
      </c>
      <c r="J4" s="13" t="s">
        <v>73</v>
      </c>
      <c r="K4" s="13" t="s">
        <v>74</v>
      </c>
      <c r="L4" s="13" t="s">
        <v>75</v>
      </c>
      <c r="M4" s="14" t="s">
        <v>389</v>
      </c>
      <c r="N4" s="14" t="s">
        <v>390</v>
      </c>
      <c r="O4" s="14" t="s">
        <v>391</v>
      </c>
      <c r="P4" s="14"/>
      <c r="Q4" s="14"/>
      <c r="R4" s="14" t="s">
        <v>392</v>
      </c>
      <c r="S4" s="14" t="s">
        <v>393</v>
      </c>
      <c r="T4" s="14" t="s">
        <v>395</v>
      </c>
      <c r="U4" s="14" t="s">
        <v>394</v>
      </c>
      <c r="V4" s="14" t="s">
        <v>396</v>
      </c>
      <c r="W4" s="25" t="s">
        <v>444</v>
      </c>
    </row>
    <row r="5" spans="1:23" ht="51" x14ac:dyDescent="0.45">
      <c r="A5" s="11">
        <v>2</v>
      </c>
      <c r="B5" s="12" t="s">
        <v>76</v>
      </c>
      <c r="C5" s="11" t="s">
        <v>77</v>
      </c>
      <c r="D5" s="11" t="s">
        <v>67</v>
      </c>
      <c r="E5" s="13" t="s">
        <v>78</v>
      </c>
      <c r="F5" s="13" t="s">
        <v>79</v>
      </c>
      <c r="G5" s="13" t="s">
        <v>80</v>
      </c>
      <c r="H5" s="13" t="s">
        <v>81</v>
      </c>
      <c r="I5" s="13" t="s">
        <v>82</v>
      </c>
      <c r="J5" s="13" t="s">
        <v>83</v>
      </c>
      <c r="K5" s="13" t="s">
        <v>84</v>
      </c>
      <c r="L5" s="13" t="s">
        <v>85</v>
      </c>
      <c r="M5" s="14" t="s">
        <v>397</v>
      </c>
      <c r="N5" s="14" t="s">
        <v>399</v>
      </c>
      <c r="O5" s="14" t="s">
        <v>412</v>
      </c>
      <c r="P5" s="14"/>
      <c r="Q5" s="14" t="s">
        <v>440</v>
      </c>
      <c r="R5" s="14"/>
      <c r="S5" s="14"/>
      <c r="T5" s="14"/>
      <c r="U5" s="14"/>
      <c r="V5" s="14"/>
    </row>
    <row r="6" spans="1:23" ht="89.25" x14ac:dyDescent="0.45">
      <c r="A6" s="11">
        <v>3</v>
      </c>
      <c r="B6" s="12" t="s">
        <v>86</v>
      </c>
      <c r="C6" s="11" t="s">
        <v>87</v>
      </c>
      <c r="D6" s="11" t="s">
        <v>67</v>
      </c>
      <c r="E6" s="13" t="s">
        <v>88</v>
      </c>
      <c r="F6" s="13" t="s">
        <v>89</v>
      </c>
      <c r="G6" s="13" t="s">
        <v>90</v>
      </c>
      <c r="H6" s="13" t="s">
        <v>91</v>
      </c>
      <c r="I6" s="13" t="s">
        <v>92</v>
      </c>
      <c r="J6" s="13" t="s">
        <v>93</v>
      </c>
      <c r="K6" s="13" t="s">
        <v>94</v>
      </c>
      <c r="L6" s="13" t="s">
        <v>95</v>
      </c>
      <c r="M6" s="14" t="s">
        <v>403</v>
      </c>
      <c r="N6" s="14" t="s">
        <v>404</v>
      </c>
      <c r="O6" s="14" t="s">
        <v>405</v>
      </c>
      <c r="P6" s="14"/>
      <c r="Q6" s="14" t="s">
        <v>441</v>
      </c>
      <c r="R6" s="14" t="s">
        <v>442</v>
      </c>
      <c r="S6" s="14"/>
      <c r="T6" s="14" t="s">
        <v>443</v>
      </c>
      <c r="U6" s="14"/>
      <c r="V6" s="14"/>
    </row>
    <row r="7" spans="1:23" ht="51" x14ac:dyDescent="0.45">
      <c r="A7" s="11">
        <v>4</v>
      </c>
      <c r="B7" s="12" t="s">
        <v>96</v>
      </c>
      <c r="C7" s="11" t="s">
        <v>97</v>
      </c>
      <c r="D7" s="11" t="s">
        <v>67</v>
      </c>
      <c r="E7" s="13" t="s">
        <v>98</v>
      </c>
      <c r="F7" s="13" t="s">
        <v>99</v>
      </c>
      <c r="G7" s="13" t="s">
        <v>100</v>
      </c>
      <c r="H7" s="13" t="s">
        <v>101</v>
      </c>
      <c r="I7" s="13" t="s">
        <v>102</v>
      </c>
      <c r="J7" s="13" t="s">
        <v>103</v>
      </c>
      <c r="K7" s="13" t="s">
        <v>104</v>
      </c>
      <c r="L7" s="13" t="s">
        <v>105</v>
      </c>
      <c r="M7" s="14" t="s">
        <v>400</v>
      </c>
      <c r="N7" s="14" t="s">
        <v>409</v>
      </c>
      <c r="O7" s="14" t="s">
        <v>413</v>
      </c>
      <c r="P7" s="14"/>
      <c r="Q7" s="14"/>
      <c r="R7" s="14"/>
      <c r="S7" s="14"/>
      <c r="T7" s="14"/>
      <c r="U7" s="14"/>
      <c r="V7" s="14"/>
    </row>
    <row r="8" spans="1:23" ht="52.5" x14ac:dyDescent="0.45">
      <c r="A8" s="11">
        <v>5</v>
      </c>
      <c r="B8" s="12" t="s">
        <v>106</v>
      </c>
      <c r="C8" s="11" t="s">
        <v>107</v>
      </c>
      <c r="D8" s="11" t="s">
        <v>67</v>
      </c>
      <c r="E8" s="13" t="s">
        <v>108</v>
      </c>
      <c r="F8" s="13" t="s">
        <v>109</v>
      </c>
      <c r="G8" s="13" t="s">
        <v>110</v>
      </c>
      <c r="H8" s="13" t="s">
        <v>111</v>
      </c>
      <c r="I8" s="13" t="s">
        <v>112</v>
      </c>
      <c r="J8" s="13" t="s">
        <v>113</v>
      </c>
      <c r="K8" s="13" t="s">
        <v>114</v>
      </c>
      <c r="L8" s="15" t="s">
        <v>115</v>
      </c>
      <c r="M8" s="14" t="s">
        <v>398</v>
      </c>
      <c r="N8" s="14" t="s">
        <v>410</v>
      </c>
      <c r="O8" s="14" t="s">
        <v>411</v>
      </c>
      <c r="P8" s="14"/>
      <c r="Q8" s="14"/>
      <c r="R8" s="14"/>
      <c r="S8" s="14"/>
      <c r="T8" s="14"/>
      <c r="U8" s="14"/>
      <c r="V8" s="14"/>
    </row>
    <row r="9" spans="1:23" ht="76.5" x14ac:dyDescent="0.45">
      <c r="A9" s="13">
        <v>6</v>
      </c>
      <c r="B9" s="16" t="s">
        <v>116</v>
      </c>
      <c r="C9" s="13" t="s">
        <v>117</v>
      </c>
      <c r="D9" s="13" t="s">
        <v>118</v>
      </c>
      <c r="E9" s="13" t="s">
        <v>119</v>
      </c>
      <c r="F9" s="13" t="s">
        <v>120</v>
      </c>
      <c r="G9" s="13" t="s">
        <v>121</v>
      </c>
      <c r="H9" s="13" t="s">
        <v>122</v>
      </c>
      <c r="I9" s="13" t="s">
        <v>53</v>
      </c>
      <c r="J9" s="13" t="s">
        <v>123</v>
      </c>
      <c r="K9" s="13" t="s">
        <v>124</v>
      </c>
      <c r="L9" s="13" t="s">
        <v>125</v>
      </c>
      <c r="M9" s="14" t="s">
        <v>414</v>
      </c>
      <c r="N9" s="14" t="s">
        <v>415</v>
      </c>
      <c r="O9" s="14" t="s">
        <v>416</v>
      </c>
      <c r="P9" s="14"/>
      <c r="Q9" s="14"/>
      <c r="R9" s="14"/>
      <c r="S9" s="14"/>
      <c r="T9" s="14"/>
      <c r="U9" s="14"/>
      <c r="V9" s="14"/>
    </row>
    <row r="10" spans="1:23" ht="38.25" x14ac:dyDescent="0.45">
      <c r="A10" s="13">
        <v>7</v>
      </c>
      <c r="B10" s="16" t="s">
        <v>126</v>
      </c>
      <c r="C10" s="13" t="s">
        <v>127</v>
      </c>
      <c r="D10" s="13" t="s">
        <v>118</v>
      </c>
      <c r="E10" s="13" t="s">
        <v>119</v>
      </c>
      <c r="F10" s="13" t="s">
        <v>128</v>
      </c>
      <c r="G10" s="13" t="s">
        <v>129</v>
      </c>
      <c r="H10" s="13" t="s">
        <v>130</v>
      </c>
      <c r="I10" s="13" t="s">
        <v>131</v>
      </c>
      <c r="J10" s="13" t="s">
        <v>132</v>
      </c>
      <c r="K10" s="13">
        <f ca="1">+M6+K10+K10:K11+K10+M6+K10+M6+K10</f>
        <v>0</v>
      </c>
      <c r="L10" s="13" t="s">
        <v>133</v>
      </c>
      <c r="M10" s="14" t="s">
        <v>417</v>
      </c>
      <c r="N10" s="14" t="s">
        <v>418</v>
      </c>
      <c r="O10" s="14" t="s">
        <v>419</v>
      </c>
      <c r="P10" s="14"/>
      <c r="Q10" s="14"/>
      <c r="R10" s="14"/>
      <c r="S10" s="14"/>
      <c r="T10" s="14"/>
      <c r="U10" s="14"/>
      <c r="V10" s="14"/>
    </row>
    <row r="11" spans="1:23" ht="38.25" x14ac:dyDescent="0.45">
      <c r="A11" s="13">
        <v>8</v>
      </c>
      <c r="B11" s="16" t="s">
        <v>134</v>
      </c>
      <c r="C11" s="13" t="s">
        <v>135</v>
      </c>
      <c r="D11" s="13" t="s">
        <v>118</v>
      </c>
      <c r="E11" s="13" t="s">
        <v>119</v>
      </c>
      <c r="F11" s="13" t="s">
        <v>136</v>
      </c>
      <c r="G11" s="13" t="s">
        <v>137</v>
      </c>
      <c r="H11" s="13" t="s">
        <v>138</v>
      </c>
      <c r="I11" s="13" t="s">
        <v>139</v>
      </c>
      <c r="J11" s="13" t="s">
        <v>140</v>
      </c>
      <c r="K11" s="13" t="s">
        <v>141</v>
      </c>
      <c r="L11" s="13" t="s">
        <v>142</v>
      </c>
      <c r="M11" s="14" t="s">
        <v>420</v>
      </c>
      <c r="N11" s="14" t="s">
        <v>421</v>
      </c>
      <c r="O11" s="14" t="s">
        <v>422</v>
      </c>
      <c r="P11" s="14"/>
      <c r="Q11" s="14"/>
      <c r="R11" s="14"/>
      <c r="S11" s="14"/>
      <c r="T11" s="14"/>
      <c r="U11" s="14"/>
      <c r="V11" s="14"/>
    </row>
    <row r="12" spans="1:23" ht="38.25" x14ac:dyDescent="0.45">
      <c r="A12" s="13">
        <v>9</v>
      </c>
      <c r="B12" s="16" t="s">
        <v>143</v>
      </c>
      <c r="C12" s="13" t="s">
        <v>144</v>
      </c>
      <c r="D12" s="13" t="s">
        <v>118</v>
      </c>
      <c r="E12" s="13" t="s">
        <v>119</v>
      </c>
      <c r="F12" s="13" t="s">
        <v>145</v>
      </c>
      <c r="G12" s="13" t="s">
        <v>146</v>
      </c>
      <c r="H12" s="13" t="s">
        <v>147</v>
      </c>
      <c r="I12" s="13" t="s">
        <v>148</v>
      </c>
      <c r="J12" s="13" t="s">
        <v>123</v>
      </c>
      <c r="K12" s="13" t="s">
        <v>149</v>
      </c>
      <c r="L12" s="13" t="s">
        <v>150</v>
      </c>
      <c r="M12" s="14" t="s">
        <v>427</v>
      </c>
      <c r="N12" s="14" t="s">
        <v>428</v>
      </c>
      <c r="O12" s="14" t="s">
        <v>429</v>
      </c>
      <c r="P12" s="14"/>
      <c r="Q12" s="14"/>
      <c r="R12" s="14"/>
      <c r="S12" s="14"/>
      <c r="T12" s="14"/>
      <c r="U12" s="14"/>
      <c r="V12" s="14"/>
    </row>
    <row r="13" spans="1:23" ht="38.25" x14ac:dyDescent="0.45">
      <c r="A13" s="13">
        <v>10</v>
      </c>
      <c r="B13" s="16" t="s">
        <v>151</v>
      </c>
      <c r="C13" s="13" t="s">
        <v>152</v>
      </c>
      <c r="D13" s="13" t="s">
        <v>118</v>
      </c>
      <c r="E13" s="13" t="s">
        <v>153</v>
      </c>
      <c r="F13" s="13" t="s">
        <v>154</v>
      </c>
      <c r="G13" s="13" t="s">
        <v>155</v>
      </c>
      <c r="H13" s="13" t="s">
        <v>156</v>
      </c>
      <c r="I13" s="13" t="s">
        <v>157</v>
      </c>
      <c r="J13" s="13" t="s">
        <v>158</v>
      </c>
      <c r="K13" s="13" t="s">
        <v>159</v>
      </c>
      <c r="L13" s="13" t="s">
        <v>160</v>
      </c>
      <c r="M13" s="14" t="s">
        <v>423</v>
      </c>
      <c r="N13" s="14" t="s">
        <v>424</v>
      </c>
      <c r="O13" s="14"/>
      <c r="P13" s="14"/>
      <c r="Q13" s="14"/>
      <c r="R13" s="14"/>
      <c r="S13" s="14"/>
      <c r="T13" s="14"/>
      <c r="U13" s="14"/>
      <c r="V13" s="14"/>
    </row>
    <row r="14" spans="1:23" ht="38.25" x14ac:dyDescent="0.45">
      <c r="A14" s="13">
        <v>11</v>
      </c>
      <c r="B14" s="16" t="s">
        <v>161</v>
      </c>
      <c r="C14" s="13" t="s">
        <v>162</v>
      </c>
      <c r="D14" s="13" t="s">
        <v>118</v>
      </c>
      <c r="E14" s="13" t="s">
        <v>119</v>
      </c>
      <c r="F14" s="13" t="s">
        <v>163</v>
      </c>
      <c r="G14" s="13" t="s">
        <v>164</v>
      </c>
      <c r="H14" s="13" t="s">
        <v>165</v>
      </c>
      <c r="I14" s="13" t="s">
        <v>166</v>
      </c>
      <c r="J14" s="13" t="s">
        <v>167</v>
      </c>
      <c r="K14" s="13" t="s">
        <v>168</v>
      </c>
      <c r="L14" s="13" t="s">
        <v>169</v>
      </c>
      <c r="M14" s="14" t="s">
        <v>425</v>
      </c>
      <c r="N14" s="14" t="s">
        <v>426</v>
      </c>
      <c r="O14" s="14"/>
      <c r="P14" s="14"/>
      <c r="Q14" s="14"/>
      <c r="R14" s="14"/>
      <c r="S14" s="14"/>
      <c r="T14" s="14"/>
      <c r="U14" s="14"/>
      <c r="V14" s="14"/>
    </row>
    <row r="15" spans="1:23" ht="38.25" x14ac:dyDescent="0.45">
      <c r="A15" s="13">
        <v>12</v>
      </c>
      <c r="B15" s="16" t="s">
        <v>170</v>
      </c>
      <c r="C15" s="13" t="s">
        <v>171</v>
      </c>
      <c r="D15" s="13" t="s">
        <v>118</v>
      </c>
      <c r="E15" s="13" t="s">
        <v>119</v>
      </c>
      <c r="F15" s="13" t="s">
        <v>172</v>
      </c>
      <c r="G15" s="13" t="s">
        <v>173</v>
      </c>
      <c r="H15" s="13" t="s">
        <v>174</v>
      </c>
      <c r="I15" s="13" t="s">
        <v>175</v>
      </c>
      <c r="J15" s="13" t="s">
        <v>176</v>
      </c>
      <c r="K15" s="13" t="s">
        <v>177</v>
      </c>
      <c r="L15" s="13" t="s">
        <v>178</v>
      </c>
      <c r="M15" s="14" t="s">
        <v>433</v>
      </c>
      <c r="N15" s="14" t="s">
        <v>434</v>
      </c>
      <c r="O15" s="14" t="s">
        <v>438</v>
      </c>
      <c r="P15" s="14"/>
      <c r="Q15" s="14"/>
      <c r="R15" s="14"/>
      <c r="S15" s="14"/>
      <c r="T15" s="14"/>
      <c r="U15" s="14"/>
      <c r="V15" s="14"/>
    </row>
    <row r="16" spans="1:23" ht="38.25" x14ac:dyDescent="0.45">
      <c r="A16" s="13">
        <v>13</v>
      </c>
      <c r="B16" s="16" t="s">
        <v>179</v>
      </c>
      <c r="C16" s="13" t="s">
        <v>180</v>
      </c>
      <c r="D16" s="13" t="s">
        <v>118</v>
      </c>
      <c r="E16" s="13" t="s">
        <v>181</v>
      </c>
      <c r="F16" s="13" t="s">
        <v>182</v>
      </c>
      <c r="G16" s="13" t="s">
        <v>183</v>
      </c>
      <c r="H16" s="13" t="s">
        <v>184</v>
      </c>
      <c r="I16" s="13" t="s">
        <v>185</v>
      </c>
      <c r="J16" s="13" t="s">
        <v>186</v>
      </c>
      <c r="K16" s="13" t="s">
        <v>187</v>
      </c>
      <c r="L16" s="13" t="s">
        <v>188</v>
      </c>
      <c r="M16" s="14" t="s">
        <v>402</v>
      </c>
      <c r="N16" s="14" t="s">
        <v>431</v>
      </c>
      <c r="O16" s="14" t="s">
        <v>439</v>
      </c>
      <c r="P16" s="14"/>
      <c r="Q16" s="14"/>
      <c r="R16" s="14"/>
      <c r="S16" s="14"/>
      <c r="T16" s="14"/>
      <c r="U16" s="14"/>
      <c r="V16" s="14"/>
    </row>
    <row r="17" spans="1:22" ht="38.25" x14ac:dyDescent="0.45">
      <c r="A17" s="13">
        <v>14</v>
      </c>
      <c r="B17" s="16" t="s">
        <v>189</v>
      </c>
      <c r="C17" s="13" t="s">
        <v>190</v>
      </c>
      <c r="D17" s="13" t="s">
        <v>118</v>
      </c>
      <c r="E17" s="13" t="s">
        <v>191</v>
      </c>
      <c r="F17" s="13" t="s">
        <v>192</v>
      </c>
      <c r="G17" s="13" t="s">
        <v>193</v>
      </c>
      <c r="H17" s="13" t="s">
        <v>194</v>
      </c>
      <c r="I17" s="13" t="s">
        <v>195</v>
      </c>
      <c r="J17" s="13" t="s">
        <v>196</v>
      </c>
      <c r="K17" s="13" t="s">
        <v>197</v>
      </c>
      <c r="L17" s="13" t="s">
        <v>198</v>
      </c>
      <c r="M17" s="14" t="s">
        <v>401</v>
      </c>
      <c r="N17" s="14" t="s">
        <v>430</v>
      </c>
      <c r="O17" s="14" t="s">
        <v>406</v>
      </c>
      <c r="P17" s="14"/>
      <c r="Q17" s="14"/>
      <c r="R17" s="14"/>
      <c r="S17" s="14"/>
      <c r="T17" s="14"/>
      <c r="U17" s="14"/>
      <c r="V17" s="14"/>
    </row>
    <row r="18" spans="1:22" ht="51" x14ac:dyDescent="0.45">
      <c r="A18" s="17">
        <v>15</v>
      </c>
      <c r="B18" s="18" t="s">
        <v>199</v>
      </c>
      <c r="C18" s="17" t="s">
        <v>200</v>
      </c>
      <c r="D18" s="17" t="s">
        <v>201</v>
      </c>
      <c r="E18" s="13" t="s">
        <v>119</v>
      </c>
      <c r="F18" s="13" t="s">
        <v>202</v>
      </c>
      <c r="G18" s="13" t="s">
        <v>53</v>
      </c>
      <c r="H18" s="13" t="s">
        <v>53</v>
      </c>
      <c r="I18" s="13" t="s">
        <v>53</v>
      </c>
      <c r="J18" s="13" t="s">
        <v>53</v>
      </c>
      <c r="K18" s="13" t="s">
        <v>203</v>
      </c>
      <c r="L18" s="13" t="s">
        <v>204</v>
      </c>
      <c r="M18" s="14" t="s">
        <v>437</v>
      </c>
      <c r="N18" s="14" t="s">
        <v>432</v>
      </c>
      <c r="O18" s="14"/>
      <c r="P18" s="14"/>
      <c r="Q18" s="14"/>
      <c r="R18" s="14"/>
      <c r="S18" s="14"/>
      <c r="T18" s="14"/>
      <c r="U18" s="14"/>
      <c r="V18" s="14"/>
    </row>
    <row r="19" spans="1:22" ht="38.25" x14ac:dyDescent="0.45">
      <c r="A19" s="17">
        <v>16</v>
      </c>
      <c r="B19" s="18" t="s">
        <v>205</v>
      </c>
      <c r="C19" s="17" t="s">
        <v>206</v>
      </c>
      <c r="D19" s="17" t="s">
        <v>201</v>
      </c>
      <c r="E19" s="13" t="s">
        <v>119</v>
      </c>
      <c r="F19" s="13" t="s">
        <v>207</v>
      </c>
      <c r="G19" s="13" t="s">
        <v>53</v>
      </c>
      <c r="H19" s="13" t="s">
        <v>53</v>
      </c>
      <c r="I19" s="13" t="s">
        <v>208</v>
      </c>
      <c r="J19" s="13" t="s">
        <v>53</v>
      </c>
      <c r="K19" s="13" t="s">
        <v>203</v>
      </c>
      <c r="L19" s="13" t="s">
        <v>204</v>
      </c>
      <c r="M19" s="14" t="s">
        <v>435</v>
      </c>
      <c r="N19" s="14"/>
      <c r="O19" s="14"/>
      <c r="P19" s="14"/>
      <c r="Q19" s="14"/>
      <c r="R19" s="14"/>
      <c r="S19" s="14"/>
      <c r="T19" s="14"/>
      <c r="U19" s="14"/>
      <c r="V19" s="14"/>
    </row>
    <row r="20" spans="1:22" ht="38.25" x14ac:dyDescent="0.45">
      <c r="A20" s="17">
        <v>17</v>
      </c>
      <c r="B20" s="18" t="s">
        <v>209</v>
      </c>
      <c r="C20" s="17" t="s">
        <v>210</v>
      </c>
      <c r="D20" s="17" t="s">
        <v>201</v>
      </c>
      <c r="E20" s="13" t="s">
        <v>119</v>
      </c>
      <c r="F20" s="13" t="s">
        <v>211</v>
      </c>
      <c r="G20" s="13" t="s">
        <v>53</v>
      </c>
      <c r="H20" s="13" t="s">
        <v>53</v>
      </c>
      <c r="I20" s="13" t="s">
        <v>212</v>
      </c>
      <c r="J20" s="13" t="s">
        <v>53</v>
      </c>
      <c r="K20" s="13" t="s">
        <v>213</v>
      </c>
      <c r="L20" s="13" t="s">
        <v>214</v>
      </c>
      <c r="M20" s="14" t="s">
        <v>436</v>
      </c>
      <c r="N20" s="14"/>
      <c r="O20" s="14"/>
      <c r="P20" s="14"/>
      <c r="Q20" s="14"/>
      <c r="R20" s="14"/>
      <c r="S20" s="14"/>
      <c r="T20" s="14"/>
      <c r="U20" s="14"/>
      <c r="V20" s="14"/>
    </row>
    <row r="22" spans="1:22" x14ac:dyDescent="0.45">
      <c r="B22" s="16" t="s">
        <v>215</v>
      </c>
      <c r="C22" s="13" t="str">
        <f>COUNTA(M4:M20)&amp;" из "&amp;ROWS(M4:M20)</f>
        <v>17 из 17</v>
      </c>
    </row>
    <row r="23" spans="1:22" ht="26.25" x14ac:dyDescent="0.45">
      <c r="B23" s="16" t="s">
        <v>216</v>
      </c>
      <c r="C23" s="13" t="str">
        <f>COUNTIFS(D4:D20,"Ключевой",M4:M20,"&lt;&gt;")&amp;" из "&amp;COUNTIF(D4:D20,"Ключевой")</f>
        <v>5 из 5</v>
      </c>
    </row>
  </sheetData>
  <mergeCells count="2">
    <mergeCell ref="A1:L1"/>
    <mergeCell ref="M1:V1"/>
  </mergeCells>
  <conditionalFormatting sqref="M13:M14 M4:M11 M16:M17 M19:M20">
    <cfRule type="expression" dxfId="0" priority="2">
      <formula>AND($D4="Ключевой",$M4="")</formula>
    </cfRule>
  </conditionalFormatting>
  <dataValidations count="2">
    <dataValidation type="list" allowBlank="1" sqref="D4:D20" xr:uid="{00000000-0002-0000-0100-000000000000}">
      <formula1>"Ключевой,Второстепенный,Служебный"</formula1>
      <formula2>0</formula2>
    </dataValidation>
    <dataValidation type="list" allowBlank="1" sqref="V4:V20" xr:uid="{00000000-0002-0000-0100-000001000000}">
      <formula1>"Да,Нет,Уточнить"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1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6640625" defaultRowHeight="14.25" x14ac:dyDescent="0.45"/>
  <cols>
    <col min="1" max="2" width="20" customWidth="1"/>
    <col min="3" max="3" width="9" customWidth="1"/>
    <col min="4" max="4" width="22" customWidth="1"/>
    <col min="5" max="5" width="16" customWidth="1"/>
    <col min="6" max="6" width="18" customWidth="1"/>
    <col min="7" max="7" width="9" customWidth="1"/>
    <col min="8" max="8" width="16" customWidth="1"/>
    <col min="9" max="9" width="24" customWidth="1"/>
    <col min="10" max="10" width="16" customWidth="1"/>
    <col min="11" max="11" width="7" customWidth="1"/>
  </cols>
  <sheetData>
    <row r="1" spans="1:11" ht="31.5" customHeight="1" x14ac:dyDescent="0.45">
      <c r="A1" s="8" t="s">
        <v>217</v>
      </c>
      <c r="B1" s="8" t="s">
        <v>218</v>
      </c>
      <c r="C1" s="8" t="s">
        <v>219</v>
      </c>
      <c r="D1" s="8" t="s">
        <v>220</v>
      </c>
      <c r="E1" s="8" t="s">
        <v>221</v>
      </c>
      <c r="F1" s="8" t="s">
        <v>222</v>
      </c>
      <c r="G1" s="8" t="s">
        <v>223</v>
      </c>
      <c r="H1" s="8" t="s">
        <v>224</v>
      </c>
      <c r="I1" s="8" t="s">
        <v>225</v>
      </c>
      <c r="J1" s="8" t="s">
        <v>226</v>
      </c>
      <c r="K1" s="8" t="s">
        <v>227</v>
      </c>
    </row>
    <row r="2" spans="1:11" ht="38.25" x14ac:dyDescent="0.45">
      <c r="A2" s="16" t="s">
        <v>65</v>
      </c>
      <c r="B2" s="14" t="str">
        <f>IF(Персонажи!M4="","— не назначен",Персонажи!M4)</f>
        <v>я</v>
      </c>
      <c r="C2" s="19" t="s">
        <v>228</v>
      </c>
      <c r="D2" s="20" t="s">
        <v>229</v>
      </c>
      <c r="E2" s="20"/>
      <c r="F2" s="20"/>
      <c r="G2" s="20"/>
      <c r="H2" s="20"/>
      <c r="I2" s="20" t="s">
        <v>230</v>
      </c>
      <c r="J2" s="20"/>
      <c r="K2" s="21">
        <f t="shared" ref="K2:K18" si="0">COUNTA(C2:J2)</f>
        <v>3</v>
      </c>
    </row>
    <row r="3" spans="1:11" ht="25.5" x14ac:dyDescent="0.45">
      <c r="A3" s="16" t="s">
        <v>76</v>
      </c>
      <c r="B3" s="14" t="str">
        <f>IF(Персонажи!M5="","— не назначен",Персонажи!M5)</f>
        <v>мой дедушка</v>
      </c>
      <c r="C3" s="19" t="s">
        <v>228</v>
      </c>
      <c r="D3" s="20" t="s">
        <v>231</v>
      </c>
      <c r="E3" s="20"/>
      <c r="F3" s="20"/>
      <c r="G3" s="19" t="s">
        <v>228</v>
      </c>
      <c r="H3" s="20"/>
      <c r="I3" s="20" t="s">
        <v>232</v>
      </c>
      <c r="J3" s="20"/>
      <c r="K3" s="21">
        <f t="shared" si="0"/>
        <v>4</v>
      </c>
    </row>
    <row r="4" spans="1:11" ht="25.5" x14ac:dyDescent="0.45">
      <c r="A4" s="16" t="s">
        <v>86</v>
      </c>
      <c r="B4" s="14" t="str">
        <f>IF(Персонажи!M6="","— не назначен",Персонажи!M6)</f>
        <v>муж сестры</v>
      </c>
      <c r="C4" s="19" t="s">
        <v>228</v>
      </c>
      <c r="D4" s="20" t="s">
        <v>233</v>
      </c>
      <c r="E4" s="20" t="s">
        <v>234</v>
      </c>
      <c r="F4" s="20"/>
      <c r="G4" s="19" t="s">
        <v>228</v>
      </c>
      <c r="H4" s="20" t="s">
        <v>235</v>
      </c>
      <c r="I4" s="20" t="s">
        <v>236</v>
      </c>
      <c r="J4" s="20"/>
      <c r="K4" s="21">
        <f t="shared" si="0"/>
        <v>6</v>
      </c>
    </row>
    <row r="5" spans="1:11" x14ac:dyDescent="0.45">
      <c r="A5" s="16" t="s">
        <v>96</v>
      </c>
      <c r="B5" s="14" t="str">
        <f>IF(Персонажи!M7="","— не назначен",Персонажи!M7)</f>
        <v>моя двоюродная сестра</v>
      </c>
      <c r="C5" s="19" t="s">
        <v>228</v>
      </c>
      <c r="D5" s="20"/>
      <c r="E5" s="20"/>
      <c r="F5" s="20"/>
      <c r="G5" s="19" t="s">
        <v>228</v>
      </c>
      <c r="H5" s="20" t="s">
        <v>237</v>
      </c>
      <c r="I5" s="20"/>
      <c r="J5" s="20"/>
      <c r="K5" s="21">
        <f t="shared" si="0"/>
        <v>3</v>
      </c>
    </row>
    <row r="6" spans="1:11" ht="25.5" x14ac:dyDescent="0.45">
      <c r="A6" s="16" t="s">
        <v>106</v>
      </c>
      <c r="B6" s="14" t="str">
        <f>IF(Персонажи!M8="","— не назначен",Персонажи!M8)</f>
        <v>мой дядя</v>
      </c>
      <c r="C6" s="19" t="s">
        <v>228</v>
      </c>
      <c r="D6" s="20"/>
      <c r="E6" s="20"/>
      <c r="F6" s="20" t="s">
        <v>238</v>
      </c>
      <c r="G6" s="19" t="s">
        <v>228</v>
      </c>
      <c r="H6" s="20" t="s">
        <v>239</v>
      </c>
      <c r="I6" s="20" t="s">
        <v>240</v>
      </c>
      <c r="J6" s="20"/>
      <c r="K6" s="21">
        <f t="shared" si="0"/>
        <v>5</v>
      </c>
    </row>
    <row r="7" spans="1:11" x14ac:dyDescent="0.45">
      <c r="A7" s="16" t="s">
        <v>116</v>
      </c>
      <c r="B7" s="14" t="str">
        <f>IF(Персонажи!M9="","— не назначен",Персонажи!M9)</f>
        <v>брат моей тети</v>
      </c>
      <c r="C7" s="19" t="s">
        <v>228</v>
      </c>
      <c r="D7" s="20"/>
      <c r="E7" s="20"/>
      <c r="F7" s="20"/>
      <c r="G7" s="19" t="s">
        <v>228</v>
      </c>
      <c r="H7" s="20"/>
      <c r="I7" s="20"/>
      <c r="J7" s="20"/>
      <c r="K7" s="21">
        <f t="shared" si="0"/>
        <v>2</v>
      </c>
    </row>
    <row r="8" spans="1:11" x14ac:dyDescent="0.45">
      <c r="A8" s="16" t="s">
        <v>126</v>
      </c>
      <c r="B8" s="14" t="str">
        <f>IF(Персонажи!M10="","— не назначен",Персонажи!M10)</f>
        <v>мама моя</v>
      </c>
      <c r="C8" s="19" t="s">
        <v>228</v>
      </c>
      <c r="D8" s="20"/>
      <c r="E8" s="20"/>
      <c r="F8" s="20"/>
      <c r="G8" s="19" t="s">
        <v>228</v>
      </c>
      <c r="H8" s="20" t="s">
        <v>239</v>
      </c>
      <c r="I8" s="20"/>
      <c r="J8" s="20"/>
      <c r="K8" s="21">
        <f t="shared" si="0"/>
        <v>3</v>
      </c>
    </row>
    <row r="9" spans="1:11" x14ac:dyDescent="0.45">
      <c r="A9" s="16" t="s">
        <v>134</v>
      </c>
      <c r="B9" s="14" t="str">
        <f>IF(Персонажи!M11="","— не назначен",Персонажи!M11)</f>
        <v>бабушка</v>
      </c>
      <c r="C9" s="19" t="s">
        <v>228</v>
      </c>
      <c r="D9" s="20"/>
      <c r="E9" s="20"/>
      <c r="F9" s="20"/>
      <c r="G9" s="19" t="s">
        <v>228</v>
      </c>
      <c r="H9" s="20" t="s">
        <v>241</v>
      </c>
      <c r="I9" s="20"/>
      <c r="J9" s="20"/>
      <c r="K9" s="21">
        <f t="shared" si="0"/>
        <v>3</v>
      </c>
    </row>
    <row r="10" spans="1:11" x14ac:dyDescent="0.45">
      <c r="A10" s="16" t="s">
        <v>143</v>
      </c>
      <c r="B10" s="14" t="e">
        <f>IF(Персонажи!#REF!="","— не назначен",Персонажи!#REF!)</f>
        <v>#REF!</v>
      </c>
      <c r="C10" s="19" t="s">
        <v>228</v>
      </c>
      <c r="D10" s="20"/>
      <c r="E10" s="20"/>
      <c r="F10" s="20"/>
      <c r="G10" s="19" t="s">
        <v>228</v>
      </c>
      <c r="H10" s="20"/>
      <c r="I10" s="20"/>
      <c r="J10" s="20"/>
      <c r="K10" s="21">
        <f t="shared" si="0"/>
        <v>2</v>
      </c>
    </row>
    <row r="11" spans="1:11" x14ac:dyDescent="0.45">
      <c r="A11" s="16" t="s">
        <v>151</v>
      </c>
      <c r="B11" s="14" t="str">
        <f>IF(Персонажи!M13="","— не назначен",Персонажи!M13)</f>
        <v>мужчина моей мамы</v>
      </c>
      <c r="C11" s="19" t="s">
        <v>228</v>
      </c>
      <c r="D11" s="20" t="s">
        <v>242</v>
      </c>
      <c r="E11" s="20"/>
      <c r="F11" s="20"/>
      <c r="G11" s="19" t="s">
        <v>228</v>
      </c>
      <c r="H11" s="20" t="s">
        <v>243</v>
      </c>
      <c r="I11" s="20"/>
      <c r="J11" s="20"/>
      <c r="K11" s="21">
        <f t="shared" si="0"/>
        <v>4</v>
      </c>
    </row>
    <row r="12" spans="1:11" ht="25.5" x14ac:dyDescent="0.45">
      <c r="A12" s="16" t="s">
        <v>161</v>
      </c>
      <c r="B12" s="14" t="str">
        <f>IF(Персонажи!M14="","— не назначен",Персонажи!M14)</f>
        <v>мама мужа моей сестры</v>
      </c>
      <c r="C12" s="19" t="s">
        <v>228</v>
      </c>
      <c r="D12" s="20" t="s">
        <v>244</v>
      </c>
      <c r="E12" s="20"/>
      <c r="F12" s="20"/>
      <c r="G12" s="19" t="s">
        <v>228</v>
      </c>
      <c r="H12" s="20"/>
      <c r="I12" s="20"/>
      <c r="J12" s="20" t="s">
        <v>245</v>
      </c>
      <c r="K12" s="21">
        <f t="shared" si="0"/>
        <v>4</v>
      </c>
    </row>
    <row r="13" spans="1:11" ht="25.5" x14ac:dyDescent="0.45">
      <c r="A13" s="16" t="s">
        <v>170</v>
      </c>
      <c r="B13" s="14" t="e">
        <f>IF(Персонажи!#REF!="","— не назначен",Персонажи!#REF!)</f>
        <v>#REF!</v>
      </c>
      <c r="C13" s="19" t="s">
        <v>228</v>
      </c>
      <c r="D13" s="20" t="s">
        <v>246</v>
      </c>
      <c r="E13" s="20"/>
      <c r="F13" s="20"/>
      <c r="G13" s="19" t="s">
        <v>228</v>
      </c>
      <c r="H13" s="20" t="s">
        <v>239</v>
      </c>
      <c r="I13" s="20"/>
      <c r="J13" s="20"/>
      <c r="K13" s="21">
        <f t="shared" si="0"/>
        <v>4</v>
      </c>
    </row>
    <row r="14" spans="1:11" x14ac:dyDescent="0.45">
      <c r="A14" s="16" t="s">
        <v>179</v>
      </c>
      <c r="B14" s="14" t="str">
        <f>IF(Персонажи!M16="","— не назначен",Персонажи!M16)</f>
        <v>моя тетя</v>
      </c>
      <c r="C14" s="19" t="s">
        <v>228</v>
      </c>
      <c r="D14" s="20"/>
      <c r="E14" s="20"/>
      <c r="F14" s="20"/>
      <c r="G14" s="19" t="s">
        <v>228</v>
      </c>
      <c r="H14" s="20"/>
      <c r="I14" s="20" t="s">
        <v>240</v>
      </c>
      <c r="J14" s="20"/>
      <c r="K14" s="21">
        <f t="shared" si="0"/>
        <v>3</v>
      </c>
    </row>
    <row r="15" spans="1:11" ht="25.5" x14ac:dyDescent="0.45">
      <c r="A15" s="16" t="s">
        <v>189</v>
      </c>
      <c r="B15" s="14" t="str">
        <f>IF(Персонажи!M17="","— не назначен",Персонажи!M17)</f>
        <v>моя сестра</v>
      </c>
      <c r="C15" s="19" t="s">
        <v>228</v>
      </c>
      <c r="D15" s="20" t="s">
        <v>247</v>
      </c>
      <c r="E15" s="20"/>
      <c r="F15" s="20"/>
      <c r="G15" s="19" t="s">
        <v>228</v>
      </c>
      <c r="H15" s="20"/>
      <c r="I15" s="20"/>
      <c r="J15" s="20" t="s">
        <v>248</v>
      </c>
      <c r="K15" s="21">
        <f t="shared" si="0"/>
        <v>4</v>
      </c>
    </row>
    <row r="16" spans="1:11" x14ac:dyDescent="0.45">
      <c r="A16" s="16" t="s">
        <v>199</v>
      </c>
      <c r="B16" s="14" t="e">
        <f>IF(Персонажи!#REF!="","— не назначен",Персонажи!#REF!)</f>
        <v>#REF!</v>
      </c>
      <c r="C16" s="20"/>
      <c r="D16" s="20"/>
      <c r="E16" s="20"/>
      <c r="F16" s="20"/>
      <c r="G16" s="20"/>
      <c r="H16" s="20"/>
      <c r="I16" s="20"/>
      <c r="J16" s="20"/>
      <c r="K16" s="21">
        <f t="shared" si="0"/>
        <v>0</v>
      </c>
    </row>
    <row r="17" spans="1:11" x14ac:dyDescent="0.45">
      <c r="A17" s="16" t="s">
        <v>205</v>
      </c>
      <c r="B17" s="14" t="str">
        <f>IF(Персонажи!M19="","— не назначен",Персонажи!M19)</f>
        <v xml:space="preserve">поставь любое имя </v>
      </c>
      <c r="C17" s="20"/>
      <c r="D17" s="20"/>
      <c r="E17" s="20"/>
      <c r="F17" s="20"/>
      <c r="G17" s="20"/>
      <c r="H17" s="20"/>
      <c r="I17" s="20"/>
      <c r="J17" s="20"/>
      <c r="K17" s="21">
        <f t="shared" si="0"/>
        <v>0</v>
      </c>
    </row>
    <row r="18" spans="1:11" x14ac:dyDescent="0.45">
      <c r="A18" s="16" t="s">
        <v>209</v>
      </c>
      <c r="B18" s="14" t="str">
        <f>IF(Персонажи!M20="","— не назначен",Персонажи!M20)</f>
        <v>я лучше буду жертвой (не хочу никого убивать)</v>
      </c>
      <c r="C18" s="20"/>
      <c r="D18" s="20"/>
      <c r="E18" s="20"/>
      <c r="F18" s="20"/>
      <c r="G18" s="20"/>
      <c r="H18" s="20"/>
      <c r="I18" s="20"/>
      <c r="J18" s="20"/>
      <c r="K18" s="21">
        <f t="shared" si="0"/>
        <v>0</v>
      </c>
    </row>
    <row r="19" spans="1:11" x14ac:dyDescent="0.45">
      <c r="A19" s="16" t="s">
        <v>249</v>
      </c>
      <c r="C19" s="22">
        <f t="shared" ref="C19:J19" si="1">COUNTA(C2:C18)</f>
        <v>14</v>
      </c>
      <c r="D19" s="22">
        <f t="shared" si="1"/>
        <v>7</v>
      </c>
      <c r="E19" s="22">
        <f t="shared" si="1"/>
        <v>1</v>
      </c>
      <c r="F19" s="22">
        <f t="shared" si="1"/>
        <v>1</v>
      </c>
      <c r="G19" s="22">
        <f t="shared" si="1"/>
        <v>13</v>
      </c>
      <c r="H19" s="22">
        <f t="shared" si="1"/>
        <v>7</v>
      </c>
      <c r="I19" s="22">
        <f t="shared" si="1"/>
        <v>5</v>
      </c>
      <c r="J19" s="22">
        <f t="shared" si="1"/>
        <v>2</v>
      </c>
      <c r="K19" s="22">
        <f>SUM(K2:K18)</f>
        <v>50</v>
      </c>
    </row>
    <row r="21" spans="1:11" ht="15" customHeight="1" x14ac:dyDescent="0.45">
      <c r="A21" s="1" t="s">
        <v>250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</sheetData>
  <mergeCells count="1">
    <mergeCell ref="A21:K2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3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25" x14ac:dyDescent="0.45"/>
  <cols>
    <col min="1" max="1" width="42" customWidth="1"/>
    <col min="2" max="2" width="40" customWidth="1"/>
    <col min="3" max="3" width="30" customWidth="1"/>
    <col min="4" max="4" width="20" customWidth="1"/>
  </cols>
  <sheetData>
    <row r="1" spans="1:4" ht="26.25" x14ac:dyDescent="0.45">
      <c r="A1" s="8" t="s">
        <v>251</v>
      </c>
      <c r="B1" s="8" t="s">
        <v>252</v>
      </c>
      <c r="C1" s="8" t="s">
        <v>253</v>
      </c>
      <c r="D1" s="8" t="s">
        <v>254</v>
      </c>
    </row>
    <row r="2" spans="1:4" x14ac:dyDescent="0.45">
      <c r="A2" s="16" t="s">
        <v>255</v>
      </c>
      <c r="B2" s="13" t="s">
        <v>256</v>
      </c>
      <c r="C2" s="14"/>
      <c r="D2" s="13" t="s">
        <v>64</v>
      </c>
    </row>
    <row r="3" spans="1:4" x14ac:dyDescent="0.45">
      <c r="A3" s="16" t="s">
        <v>257</v>
      </c>
      <c r="B3" s="13" t="s">
        <v>258</v>
      </c>
      <c r="C3" s="14"/>
      <c r="D3" s="13" t="s">
        <v>64</v>
      </c>
    </row>
    <row r="4" spans="1:4" x14ac:dyDescent="0.45">
      <c r="A4" s="16" t="s">
        <v>259</v>
      </c>
      <c r="B4" s="13" t="s">
        <v>260</v>
      </c>
      <c r="C4" s="14"/>
      <c r="D4" s="13" t="s">
        <v>64</v>
      </c>
    </row>
    <row r="5" spans="1:4" x14ac:dyDescent="0.45">
      <c r="A5" s="16" t="s">
        <v>261</v>
      </c>
      <c r="B5" s="13" t="s">
        <v>260</v>
      </c>
      <c r="C5" s="14"/>
      <c r="D5" s="13" t="s">
        <v>64</v>
      </c>
    </row>
    <row r="6" spans="1:4" x14ac:dyDescent="0.45">
      <c r="A6" s="16" t="s">
        <v>262</v>
      </c>
      <c r="B6" s="13" t="s">
        <v>263</v>
      </c>
      <c r="C6" s="14"/>
      <c r="D6" s="13" t="s">
        <v>64</v>
      </c>
    </row>
    <row r="7" spans="1:4" x14ac:dyDescent="0.45">
      <c r="A7" s="16" t="s">
        <v>264</v>
      </c>
      <c r="B7" s="13" t="s">
        <v>265</v>
      </c>
      <c r="C7" s="14"/>
      <c r="D7" s="13" t="s">
        <v>64</v>
      </c>
    </row>
    <row r="8" spans="1:4" x14ac:dyDescent="0.45">
      <c r="A8" s="16" t="s">
        <v>266</v>
      </c>
      <c r="B8" s="13" t="s">
        <v>267</v>
      </c>
      <c r="C8" s="14"/>
      <c r="D8" s="13" t="s">
        <v>64</v>
      </c>
    </row>
    <row r="9" spans="1:4" x14ac:dyDescent="0.45">
      <c r="A9" s="16" t="s">
        <v>268</v>
      </c>
      <c r="B9" s="13" t="s">
        <v>269</v>
      </c>
      <c r="C9" s="14"/>
      <c r="D9" s="13" t="s">
        <v>64</v>
      </c>
    </row>
    <row r="10" spans="1:4" ht="26.25" x14ac:dyDescent="0.45">
      <c r="A10" s="16" t="s">
        <v>270</v>
      </c>
      <c r="B10" s="13" t="s">
        <v>271</v>
      </c>
      <c r="C10" s="14"/>
      <c r="D10" s="13" t="s">
        <v>272</v>
      </c>
    </row>
    <row r="11" spans="1:4" x14ac:dyDescent="0.45">
      <c r="A11" s="16" t="s">
        <v>273</v>
      </c>
      <c r="B11" s="13" t="s">
        <v>271</v>
      </c>
      <c r="C11" s="14"/>
      <c r="D11" s="13" t="s">
        <v>272</v>
      </c>
    </row>
    <row r="12" spans="1:4" x14ac:dyDescent="0.45">
      <c r="A12" s="16" t="s">
        <v>274</v>
      </c>
      <c r="B12" s="13" t="s">
        <v>275</v>
      </c>
      <c r="C12" s="14"/>
      <c r="D12" s="13" t="s">
        <v>64</v>
      </c>
    </row>
    <row r="13" spans="1:4" x14ac:dyDescent="0.45">
      <c r="A13" s="16" t="s">
        <v>276</v>
      </c>
      <c r="B13" s="13" t="s">
        <v>277</v>
      </c>
      <c r="C13" s="14"/>
      <c r="D13" s="13" t="s">
        <v>64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25" x14ac:dyDescent="0.45"/>
  <cols>
    <col min="1" max="1" width="18" customWidth="1"/>
    <col min="2" max="2" width="80" customWidth="1"/>
    <col min="3" max="3" width="34" customWidth="1"/>
  </cols>
  <sheetData>
    <row r="1" spans="1:3" x14ac:dyDescent="0.45">
      <c r="A1" s="8" t="s">
        <v>278</v>
      </c>
      <c r="B1" s="8" t="s">
        <v>279</v>
      </c>
      <c r="C1" s="8" t="s">
        <v>280</v>
      </c>
    </row>
    <row r="2" spans="1:3" ht="25.5" x14ac:dyDescent="0.45">
      <c r="A2" s="16" t="s">
        <v>281</v>
      </c>
      <c r="B2" s="13" t="s">
        <v>282</v>
      </c>
      <c r="C2" s="13" t="s">
        <v>283</v>
      </c>
    </row>
    <row r="3" spans="1:3" x14ac:dyDescent="0.45">
      <c r="A3" s="16" t="s">
        <v>284</v>
      </c>
      <c r="B3" s="13" t="s">
        <v>285</v>
      </c>
      <c r="C3" s="13" t="s">
        <v>286</v>
      </c>
    </row>
    <row r="4" spans="1:3" x14ac:dyDescent="0.45">
      <c r="A4" s="16" t="s">
        <v>287</v>
      </c>
      <c r="B4" s="13" t="s">
        <v>288</v>
      </c>
      <c r="C4" s="13" t="s">
        <v>289</v>
      </c>
    </row>
    <row r="5" spans="1:3" x14ac:dyDescent="0.45">
      <c r="A5" s="16" t="s">
        <v>290</v>
      </c>
      <c r="B5" s="13" t="s">
        <v>291</v>
      </c>
      <c r="C5" s="13" t="s">
        <v>292</v>
      </c>
    </row>
    <row r="6" spans="1:3" ht="25.5" x14ac:dyDescent="0.45">
      <c r="A6" s="16" t="s">
        <v>293</v>
      </c>
      <c r="B6" s="13" t="s">
        <v>294</v>
      </c>
      <c r="C6" s="13" t="s">
        <v>295</v>
      </c>
    </row>
    <row r="7" spans="1:3" ht="25.5" x14ac:dyDescent="0.45">
      <c r="A7" s="16" t="s">
        <v>296</v>
      </c>
      <c r="B7" s="13" t="s">
        <v>297</v>
      </c>
      <c r="C7" s="13" t="s">
        <v>298</v>
      </c>
    </row>
    <row r="8" spans="1:3" ht="25.5" x14ac:dyDescent="0.45">
      <c r="A8" s="16" t="s">
        <v>299</v>
      </c>
      <c r="B8" s="13" t="s">
        <v>300</v>
      </c>
      <c r="C8" s="13" t="s">
        <v>301</v>
      </c>
    </row>
    <row r="9" spans="1:3" x14ac:dyDescent="0.45">
      <c r="A9" s="16" t="s">
        <v>302</v>
      </c>
      <c r="B9" s="13" t="s">
        <v>303</v>
      </c>
      <c r="C9" s="13" t="s">
        <v>304</v>
      </c>
    </row>
    <row r="10" spans="1:3" x14ac:dyDescent="0.45">
      <c r="A10" s="16" t="s">
        <v>305</v>
      </c>
      <c r="B10" s="13" t="s">
        <v>306</v>
      </c>
      <c r="C10" s="13" t="s">
        <v>307</v>
      </c>
    </row>
    <row r="11" spans="1:3" x14ac:dyDescent="0.45">
      <c r="A11" s="16" t="s">
        <v>308</v>
      </c>
      <c r="B11" s="13" t="s">
        <v>309</v>
      </c>
      <c r="C11" s="13" t="s">
        <v>310</v>
      </c>
    </row>
    <row r="12" spans="1:3" x14ac:dyDescent="0.45">
      <c r="A12" s="16" t="s">
        <v>311</v>
      </c>
      <c r="B12" s="13" t="s">
        <v>312</v>
      </c>
      <c r="C12" s="13" t="s">
        <v>313</v>
      </c>
    </row>
    <row r="13" spans="1:3" x14ac:dyDescent="0.45">
      <c r="A13" s="16" t="s">
        <v>314</v>
      </c>
      <c r="B13" s="13" t="s">
        <v>315</v>
      </c>
      <c r="C13" s="13" t="s">
        <v>170</v>
      </c>
    </row>
    <row r="14" spans="1:3" x14ac:dyDescent="0.45">
      <c r="A14" s="16" t="s">
        <v>316</v>
      </c>
      <c r="B14" s="13" t="s">
        <v>317</v>
      </c>
      <c r="C14" s="13" t="s">
        <v>318</v>
      </c>
    </row>
    <row r="15" spans="1:3" x14ac:dyDescent="0.45">
      <c r="A15" s="16" t="s">
        <v>319</v>
      </c>
      <c r="B15" s="13" t="s">
        <v>320</v>
      </c>
      <c r="C15" s="13" t="s">
        <v>318</v>
      </c>
    </row>
    <row r="16" spans="1:3" x14ac:dyDescent="0.45">
      <c r="A16" s="16" t="s">
        <v>321</v>
      </c>
      <c r="B16" s="13" t="s">
        <v>322</v>
      </c>
      <c r="C16" s="13" t="s">
        <v>323</v>
      </c>
    </row>
    <row r="17" spans="1:3" x14ac:dyDescent="0.45">
      <c r="A17" s="16" t="s">
        <v>324</v>
      </c>
      <c r="B17" s="13" t="s">
        <v>325</v>
      </c>
      <c r="C17" s="13" t="s">
        <v>326</v>
      </c>
    </row>
    <row r="18" spans="1:3" x14ac:dyDescent="0.45">
      <c r="A18" s="16" t="s">
        <v>327</v>
      </c>
      <c r="B18" s="13" t="s">
        <v>328</v>
      </c>
      <c r="C18" s="13" t="s">
        <v>329</v>
      </c>
    </row>
    <row r="19" spans="1:3" ht="25.5" x14ac:dyDescent="0.45">
      <c r="A19" s="16" t="s">
        <v>330</v>
      </c>
      <c r="B19" s="13" t="s">
        <v>331</v>
      </c>
      <c r="C19" s="13" t="s">
        <v>332</v>
      </c>
    </row>
    <row r="20" spans="1:3" ht="25.5" x14ac:dyDescent="0.45">
      <c r="A20" s="16" t="s">
        <v>333</v>
      </c>
      <c r="B20" s="13" t="s">
        <v>334</v>
      </c>
      <c r="C20" s="13" t="s">
        <v>335</v>
      </c>
    </row>
    <row r="21" spans="1:3" x14ac:dyDescent="0.45">
      <c r="A21" s="16" t="s">
        <v>336</v>
      </c>
      <c r="B21" s="13" t="s">
        <v>337</v>
      </c>
      <c r="C21" s="13" t="s">
        <v>329</v>
      </c>
    </row>
    <row r="22" spans="1:3" x14ac:dyDescent="0.45">
      <c r="A22" s="16" t="s">
        <v>338</v>
      </c>
      <c r="B22" s="13" t="s">
        <v>339</v>
      </c>
      <c r="C22" s="13" t="s">
        <v>53</v>
      </c>
    </row>
    <row r="23" spans="1:3" x14ac:dyDescent="0.45">
      <c r="A23" s="16" t="s">
        <v>340</v>
      </c>
      <c r="B23" s="13" t="s">
        <v>341</v>
      </c>
      <c r="C23" s="13" t="s">
        <v>53</v>
      </c>
    </row>
    <row r="24" spans="1:3" x14ac:dyDescent="0.45">
      <c r="A24" s="16" t="s">
        <v>342</v>
      </c>
      <c r="B24" s="13" t="s">
        <v>343</v>
      </c>
      <c r="C24" s="13" t="s">
        <v>344</v>
      </c>
    </row>
    <row r="25" spans="1:3" x14ac:dyDescent="0.45">
      <c r="A25" s="16" t="s">
        <v>345</v>
      </c>
      <c r="B25" s="13" t="s">
        <v>346</v>
      </c>
      <c r="C25" s="13" t="s">
        <v>347</v>
      </c>
    </row>
    <row r="26" spans="1:3" x14ac:dyDescent="0.45">
      <c r="A26" s="16" t="s">
        <v>348</v>
      </c>
      <c r="B26" s="13" t="s">
        <v>349</v>
      </c>
      <c r="C26" s="13" t="s">
        <v>326</v>
      </c>
    </row>
    <row r="27" spans="1:3" x14ac:dyDescent="0.45">
      <c r="A27" s="16" t="s">
        <v>350</v>
      </c>
      <c r="B27" s="13" t="s">
        <v>351</v>
      </c>
      <c r="C27" s="13" t="s">
        <v>352</v>
      </c>
    </row>
    <row r="28" spans="1:3" x14ac:dyDescent="0.45">
      <c r="A28" s="16" t="s">
        <v>353</v>
      </c>
      <c r="B28" s="13" t="s">
        <v>354</v>
      </c>
      <c r="C28" s="13" t="s">
        <v>355</v>
      </c>
    </row>
    <row r="29" spans="1:3" x14ac:dyDescent="0.45">
      <c r="A29" s="16" t="s">
        <v>356</v>
      </c>
      <c r="B29" s="13" t="s">
        <v>357</v>
      </c>
      <c r="C29" s="13" t="s">
        <v>358</v>
      </c>
    </row>
    <row r="30" spans="1:3" x14ac:dyDescent="0.45">
      <c r="A30" s="16" t="s">
        <v>359</v>
      </c>
      <c r="B30" s="13" t="s">
        <v>360</v>
      </c>
      <c r="C30" s="13" t="s">
        <v>361</v>
      </c>
    </row>
    <row r="31" spans="1:3" x14ac:dyDescent="0.45">
      <c r="A31" s="16" t="s">
        <v>362</v>
      </c>
      <c r="B31" s="13" t="s">
        <v>363</v>
      </c>
      <c r="C31" s="13" t="s">
        <v>364</v>
      </c>
    </row>
    <row r="32" spans="1:3" x14ac:dyDescent="0.45">
      <c r="A32" s="16" t="s">
        <v>365</v>
      </c>
      <c r="B32" s="13" t="s">
        <v>366</v>
      </c>
      <c r="C32" s="13" t="s">
        <v>358</v>
      </c>
    </row>
    <row r="33" spans="1:3" x14ac:dyDescent="0.45">
      <c r="A33" s="16" t="s">
        <v>367</v>
      </c>
      <c r="B33" s="13" t="s">
        <v>368</v>
      </c>
      <c r="C33" s="13" t="s">
        <v>369</v>
      </c>
    </row>
    <row r="34" spans="1:3" x14ac:dyDescent="0.45">
      <c r="A34" s="16" t="s">
        <v>370</v>
      </c>
      <c r="B34" s="13" t="s">
        <v>371</v>
      </c>
      <c r="C34" s="13" t="s">
        <v>53</v>
      </c>
    </row>
    <row r="35" spans="1:3" x14ac:dyDescent="0.45">
      <c r="A35" s="16" t="s">
        <v>372</v>
      </c>
      <c r="B35" s="13" t="s">
        <v>373</v>
      </c>
      <c r="C35" s="13" t="s">
        <v>53</v>
      </c>
    </row>
    <row r="36" spans="1:3" x14ac:dyDescent="0.45">
      <c r="A36" s="16" t="s">
        <v>374</v>
      </c>
      <c r="B36" s="13" t="s">
        <v>375</v>
      </c>
      <c r="C36" s="13" t="s">
        <v>170</v>
      </c>
    </row>
    <row r="37" spans="1:3" x14ac:dyDescent="0.45">
      <c r="A37" s="16" t="s">
        <v>376</v>
      </c>
      <c r="B37" s="13" t="s">
        <v>377</v>
      </c>
      <c r="C37" s="13" t="s">
        <v>318</v>
      </c>
    </row>
    <row r="38" spans="1:3" x14ac:dyDescent="0.45">
      <c r="A38" s="16" t="s">
        <v>378</v>
      </c>
      <c r="B38" s="13" t="s">
        <v>379</v>
      </c>
      <c r="C38" s="13" t="s">
        <v>380</v>
      </c>
    </row>
    <row r="39" spans="1:3" x14ac:dyDescent="0.45">
      <c r="A39" s="16" t="s">
        <v>381</v>
      </c>
      <c r="B39" s="13" t="s">
        <v>382</v>
      </c>
      <c r="C39" s="13" t="s">
        <v>318</v>
      </c>
    </row>
    <row r="40" spans="1:3" x14ac:dyDescent="0.45">
      <c r="A40" s="16" t="s">
        <v>383</v>
      </c>
      <c r="B40" s="13" t="s">
        <v>384</v>
      </c>
      <c r="C40" s="13" t="s">
        <v>385</v>
      </c>
    </row>
    <row r="41" spans="1:3" x14ac:dyDescent="0.45">
      <c r="A41" s="16" t="s">
        <v>386</v>
      </c>
      <c r="B41" s="13" t="s">
        <v>387</v>
      </c>
      <c r="C41" s="13" t="s">
        <v>388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Инструкция</vt:lpstr>
      <vt:lpstr>Персонажи</vt:lpstr>
      <vt:lpstr>Участие</vt:lpstr>
      <vt:lpstr>Фоновые имена</vt:lpstr>
      <vt:lpstr>Таймлайн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Артем Молдованов</cp:lastModifiedBy>
  <cp:revision>0</cp:revision>
  <dcterms:created xsi:type="dcterms:W3CDTF">2026-10-10T23:56:04Z</dcterms:created>
  <dcterms:modified xsi:type="dcterms:W3CDTF">2026-10-13T20:45:08Z</dcterms:modified>
  <dc:language>en-US</dc:language>
</cp:coreProperties>
</file>